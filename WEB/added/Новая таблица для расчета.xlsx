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C2FFDF-49C9-475D-82E4-A61EB0F32F76}" xr6:coauthVersionLast="47" xr6:coauthVersionMax="47" xr10:uidLastSave="{00000000-0000-0000-0000-000000000000}"/>
  <bookViews>
    <workbookView xWindow="-120" yWindow="-120" windowWidth="38640" windowHeight="21120" xr2:uid="{E985C3AD-E5E2-7B43-93DF-C13AA55BC74F}"/>
  </bookViews>
  <sheets>
    <sheet name="Таблица для заполнения" sheetId="2" r:id="rId1"/>
    <sheet name="Наполнение санузла(вкладка №2)" sheetId="3" r:id="rId2"/>
    <sheet name="Таблица обзорная" sheetId="1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E23" i="3"/>
  <c r="D26" i="1"/>
  <c r="D28" i="1"/>
  <c r="D30" i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3" i="3"/>
  <c r="J17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L17" i="3" l="1"/>
  <c r="F33" i="1" s="1"/>
  <c r="H33" i="1" s="1"/>
  <c r="E24" i="3"/>
  <c r="D34" i="1" s="1"/>
  <c r="C1" i="1" l="1"/>
  <c r="C35" i="1" s="1"/>
  <c r="C34" i="1"/>
  <c r="I34" i="1" s="1"/>
  <c r="C33" i="1"/>
  <c r="E33" i="1" s="1"/>
  <c r="I33" i="1" s="1"/>
  <c r="E30" i="1"/>
  <c r="C30" i="1"/>
  <c r="G30" i="1" s="1"/>
  <c r="C29" i="1"/>
  <c r="I29" i="1" s="1"/>
  <c r="C28" i="1"/>
  <c r="G28" i="1" s="1"/>
  <c r="E28" i="1"/>
  <c r="C27" i="1"/>
  <c r="E27" i="1" s="1"/>
  <c r="F26" i="1"/>
  <c r="G26" i="1" s="1"/>
  <c r="C25" i="1"/>
  <c r="I25" i="1" s="1"/>
  <c r="C18" i="1"/>
  <c r="G18" i="1" s="1"/>
  <c r="C22" i="1"/>
  <c r="I22" i="1" s="1"/>
  <c r="C21" i="1"/>
  <c r="I21" i="1" s="1"/>
  <c r="C20" i="1"/>
  <c r="I20" i="1" s="1"/>
  <c r="C19" i="1"/>
  <c r="G19" i="1" s="1"/>
  <c r="C17" i="1"/>
  <c r="I17" i="1" s="1"/>
  <c r="C24" i="1"/>
  <c r="I24" i="1" s="1"/>
  <c r="C16" i="1"/>
  <c r="E16" i="1" s="1"/>
  <c r="C15" i="1"/>
  <c r="I15" i="1" s="1"/>
  <c r="C9" i="1"/>
  <c r="H9" i="1" s="1"/>
  <c r="C8" i="1"/>
  <c r="I8" i="1" s="1"/>
  <c r="I12" i="1"/>
  <c r="C14" i="1"/>
  <c r="E14" i="1" s="1"/>
  <c r="C13" i="1"/>
  <c r="G13" i="1" s="1"/>
  <c r="C7" i="1"/>
  <c r="G7" i="1" s="1"/>
  <c r="C6" i="1"/>
  <c r="I6" i="1" s="1"/>
  <c r="C5" i="1"/>
  <c r="C11" i="1"/>
  <c r="I11" i="1" s="1"/>
  <c r="C10" i="1"/>
  <c r="I10" i="1" s="1"/>
  <c r="C23" i="1"/>
  <c r="I23" i="1" s="1"/>
  <c r="I62" i="1"/>
  <c r="I61" i="1"/>
  <c r="I60" i="1"/>
  <c r="I59" i="1"/>
  <c r="I58" i="1"/>
  <c r="I57" i="1"/>
  <c r="I56" i="1"/>
  <c r="I55" i="1"/>
  <c r="I54" i="1"/>
  <c r="I53" i="1"/>
  <c r="I52" i="1"/>
  <c r="I51" i="1"/>
  <c r="I42" i="1"/>
  <c r="G42" i="1"/>
  <c r="E42" i="1"/>
  <c r="I41" i="1"/>
  <c r="G41" i="1"/>
  <c r="E41" i="1"/>
  <c r="I40" i="1"/>
  <c r="G40" i="1"/>
  <c r="E40" i="1"/>
  <c r="I39" i="1"/>
  <c r="G39" i="1"/>
  <c r="E39" i="1"/>
  <c r="I38" i="1"/>
  <c r="G38" i="1"/>
  <c r="E38" i="1"/>
  <c r="E26" i="1"/>
  <c r="I27" i="1" l="1"/>
  <c r="G27" i="1"/>
  <c r="G5" i="1"/>
  <c r="I5" i="1"/>
  <c r="E34" i="1"/>
  <c r="E29" i="1"/>
  <c r="G29" i="1"/>
  <c r="H25" i="1"/>
  <c r="E25" i="1"/>
  <c r="G20" i="1"/>
  <c r="G6" i="1"/>
  <c r="G16" i="1"/>
  <c r="I16" i="1"/>
  <c r="E18" i="1"/>
  <c r="I18" i="1"/>
  <c r="I9" i="1"/>
  <c r="I30" i="1"/>
  <c r="I28" i="1"/>
  <c r="I26" i="1"/>
  <c r="E21" i="1"/>
  <c r="G12" i="1"/>
  <c r="E12" i="1"/>
  <c r="G21" i="1"/>
  <c r="E15" i="1"/>
  <c r="G15" i="1"/>
  <c r="H22" i="1"/>
  <c r="C4" i="1"/>
  <c r="H4" i="1" s="1"/>
  <c r="E7" i="1"/>
  <c r="I13" i="1"/>
  <c r="E19" i="1"/>
  <c r="E24" i="1"/>
  <c r="E17" i="1"/>
  <c r="E13" i="1"/>
  <c r="I7" i="1"/>
  <c r="I19" i="1"/>
  <c r="C36" i="1"/>
  <c r="I36" i="1" s="1"/>
  <c r="G17" i="1"/>
  <c r="E8" i="1"/>
  <c r="E20" i="1"/>
  <c r="H24" i="1"/>
  <c r="E9" i="1"/>
  <c r="G8" i="1"/>
  <c r="E5" i="1"/>
  <c r="E6" i="1"/>
  <c r="I14" i="1"/>
  <c r="G14" i="1"/>
  <c r="G10" i="1"/>
  <c r="E11" i="1"/>
  <c r="G11" i="1"/>
  <c r="E23" i="1"/>
  <c r="C31" i="1"/>
  <c r="I31" i="1" s="1"/>
  <c r="E10" i="1"/>
  <c r="H23" i="1"/>
  <c r="C32" i="1"/>
  <c r="I32" i="1" s="1"/>
  <c r="C37" i="1"/>
  <c r="I37" i="1" s="1"/>
  <c r="C43" i="1"/>
  <c r="I43" i="1" s="1"/>
  <c r="G35" i="1"/>
  <c r="I35" i="1"/>
  <c r="E35" i="1"/>
  <c r="H31" i="1" l="1"/>
  <c r="E36" i="1"/>
  <c r="H32" i="1"/>
  <c r="G45" i="1"/>
  <c r="I4" i="1"/>
  <c r="I45" i="1" s="1"/>
  <c r="I47" i="1" s="1"/>
  <c r="E37" i="1"/>
  <c r="E32" i="1"/>
  <c r="E45" i="1" s="1"/>
  <c r="H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3EC872BC-5752-6549-81E2-C466B3966D01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Площадь застройки дома с наружными стенами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Васёк</author>
  </authors>
  <commentList>
    <comment ref="F4" authorId="0" shapeId="0" xr:uid="{95297E03-EBCB-A345-89FF-AF4F37CE8EC1}">
      <text>
        <r>
          <rPr>
            <b/>
            <sz val="9"/>
            <color rgb="FF000000"/>
            <rFont val="Tahoma"/>
            <family val="2"/>
            <charset val="204"/>
          </rPr>
          <t>Васёк: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 xml:space="preserve">250 - проектное решение
</t>
        </r>
        <r>
          <rPr>
            <sz val="9"/>
            <color rgb="FF000000"/>
            <rFont val="Tahoma"/>
            <family val="2"/>
            <charset val="204"/>
          </rPr>
          <t>150 - аренда инструмента</t>
        </r>
      </text>
    </comment>
  </commentList>
</comments>
</file>

<file path=xl/sharedStrings.xml><?xml version="1.0" encoding="utf-8"?>
<sst xmlns="http://schemas.openxmlformats.org/spreadsheetml/2006/main" count="243" uniqueCount="143">
  <si>
    <t>Объект:</t>
  </si>
  <si>
    <t>кол-во кв.м. по полу</t>
  </si>
  <si>
    <t>раздел</t>
  </si>
  <si>
    <t>ед.изм.</t>
  </si>
  <si>
    <t>кол-во</t>
  </si>
  <si>
    <t>ст-ть материала за кв.м.</t>
  </si>
  <si>
    <t>общая ст-ть материала</t>
  </si>
  <si>
    <t>ст-ть работ за кв.м.</t>
  </si>
  <si>
    <t>общая ст-ть работ бригады</t>
  </si>
  <si>
    <t>з/п спец.рабочих</t>
  </si>
  <si>
    <t>Итого</t>
  </si>
  <si>
    <t>Примечание</t>
  </si>
  <si>
    <t>Проект</t>
  </si>
  <si>
    <t>кв.м.</t>
  </si>
  <si>
    <t>Пол 150мм</t>
  </si>
  <si>
    <t>Пол 200мм</t>
  </si>
  <si>
    <t>не заполняется</t>
  </si>
  <si>
    <t>Пол 250 мм</t>
  </si>
  <si>
    <t>Чистовой пол - ламинат</t>
  </si>
  <si>
    <t>стоимость, заполняется вручную</t>
  </si>
  <si>
    <t>Чистовой пол -плитка</t>
  </si>
  <si>
    <t>Наружный фасад - планкен сосновый</t>
  </si>
  <si>
    <t>неизменная стоимость</t>
  </si>
  <si>
    <t>Наружный фасад - комбинированный</t>
  </si>
  <si>
    <t>Стенка наружная</t>
  </si>
  <si>
    <t>неизменная величина</t>
  </si>
  <si>
    <t>Перегородка внутр.сдвоенная</t>
  </si>
  <si>
    <t>Перегородка внутр. одинарная</t>
  </si>
  <si>
    <t>Интерьерная доска "в четверть"</t>
  </si>
  <si>
    <t>Отделка ЛДСП плитами</t>
  </si>
  <si>
    <t>Отделка ГКЛ в 2 слоя с покраской</t>
  </si>
  <si>
    <t>Отделка МДФ панелями</t>
  </si>
  <si>
    <t>Отделка Фанера/рейка</t>
  </si>
  <si>
    <t>Крыша двускатная</t>
  </si>
  <si>
    <t>Крыша плоская(конструктив)</t>
  </si>
  <si>
    <t>Наплавка плоской кровли(кровельщик)</t>
  </si>
  <si>
    <t>Потолок натяжной</t>
  </si>
  <si>
    <t>Подготовка стен санузла с плиткой</t>
  </si>
  <si>
    <t>Двери</t>
  </si>
  <si>
    <t>шт</t>
  </si>
  <si>
    <t>Сауна</t>
  </si>
  <si>
    <t>Отделка окон</t>
  </si>
  <si>
    <t>Окна+монтаж</t>
  </si>
  <si>
    <t>Отделка панорамной стенки</t>
  </si>
  <si>
    <t>Панорамная стенка+монтаж</t>
  </si>
  <si>
    <t>Кладовщики+малярка</t>
  </si>
  <si>
    <t xml:space="preserve">Электрика </t>
  </si>
  <si>
    <t>Сантехника</t>
  </si>
  <si>
    <t>комплект</t>
  </si>
  <si>
    <t>Оборудование санузла</t>
  </si>
  <si>
    <t>Конвектора+клапан</t>
  </si>
  <si>
    <t>Расходные материалы</t>
  </si>
  <si>
    <t>Упаковка +сборка</t>
  </si>
  <si>
    <t>Накладные расходы</t>
  </si>
  <si>
    <t xml:space="preserve">Итого себестоимость по разделам:  </t>
  </si>
  <si>
    <t>Итого стоимость дома с прибылью компании 30%</t>
  </si>
  <si>
    <t xml:space="preserve">Дополнительные опции: </t>
  </si>
  <si>
    <t>Свайно-винтовой фундамент под дом</t>
  </si>
  <si>
    <t>Свайно-винтовой фундамент под террасу</t>
  </si>
  <si>
    <t>Периметральное ограждение террасы</t>
  </si>
  <si>
    <t>м.п.</t>
  </si>
  <si>
    <t>Сетка от грызунов</t>
  </si>
  <si>
    <t>Дополнительные терморегуляторы</t>
  </si>
  <si>
    <t>Незамерзающий уличный кран Unipump</t>
  </si>
  <si>
    <t>Дополнительный фонарь уличного освещения</t>
  </si>
  <si>
    <t>Жилая площадь дома(без учета сауны)</t>
  </si>
  <si>
    <t>Высота чистового потолка</t>
  </si>
  <si>
    <t>Погонные метры одинарных перегородок(100мм)</t>
  </si>
  <si>
    <t>Погонные метры сдвоенных перегородок(200мм)</t>
  </si>
  <si>
    <t>Утепление пола 150мм</t>
  </si>
  <si>
    <t>Утепление пола 200мм</t>
  </si>
  <si>
    <t>Утепление пола 250мм</t>
  </si>
  <si>
    <t>Чистовое покрытие пола - ламинат</t>
  </si>
  <si>
    <t>Чистовое покрытие пола - керамогранит</t>
  </si>
  <si>
    <t>Отделка стен санузла керамогранитом</t>
  </si>
  <si>
    <t>Кровля двускатная</t>
  </si>
  <si>
    <t>Кровля плоская</t>
  </si>
  <si>
    <t>ед.изм</t>
  </si>
  <si>
    <t>кв.м</t>
  </si>
  <si>
    <t>м</t>
  </si>
  <si>
    <t>Двери межкомнатные с комплектом доборных элементов</t>
  </si>
  <si>
    <t>Монтаж сауны, печи</t>
  </si>
  <si>
    <t>рубли</t>
  </si>
  <si>
    <t>Окна</t>
  </si>
  <si>
    <t>Стоимость окон</t>
  </si>
  <si>
    <t>Количество санузлов</t>
  </si>
  <si>
    <t>Стоимость больших панорамных секций</t>
  </si>
  <si>
    <t>Площадь застройки дома(наружные габариты)</t>
  </si>
  <si>
    <t>Большие панорамные секции (более 5 кв.м)</t>
  </si>
  <si>
    <t>Санузел</t>
  </si>
  <si>
    <t>Сметная стоимость</t>
  </si>
  <si>
    <t>Линейный трап</t>
  </si>
  <si>
    <t>Раздвижная перегородка 1200х2000</t>
  </si>
  <si>
    <t>Стационарная стеклянная перегородка 900*2000</t>
  </si>
  <si>
    <t>Душевая стойка c смесителем Am/Pm Sunny F0785C900</t>
  </si>
  <si>
    <t>Смеситель для раковины Am.Pm Gem</t>
  </si>
  <si>
    <t>Столешница Масив Альфа 1000*470</t>
  </si>
  <si>
    <t>Кронштейн подвесной</t>
  </si>
  <si>
    <t>сифон д/раковины без выпуска</t>
  </si>
  <si>
    <t>выпуск</t>
  </si>
  <si>
    <t>Труба гофрированная 32*900</t>
  </si>
  <si>
    <t>Унитаз напольный</t>
  </si>
  <si>
    <t>Бойлер 100л</t>
  </si>
  <si>
    <t>Бойлер 50л</t>
  </si>
  <si>
    <t>Комплект инсталляция с унитазом AM.PM Crave FlashClean с клавишей Pro L цвет хром, безободковый, с микролифтом</t>
  </si>
  <si>
    <t>Греющий кабель</t>
  </si>
  <si>
    <t>Раковина AM.PM. Func</t>
  </si>
  <si>
    <t>Сумма</t>
  </si>
  <si>
    <t>Электрический полотенцесушитель Point</t>
  </si>
  <si>
    <t>Комплект фановых труб и фитингов для подключения канализации под домом</t>
  </si>
  <si>
    <t>Наполнение санузлов</t>
  </si>
  <si>
    <t>Итоговая комплектация наполнения санузлов:</t>
  </si>
  <si>
    <t>Наличие водяных точек</t>
  </si>
  <si>
    <t>Наименование</t>
  </si>
  <si>
    <t>Бойлер</t>
  </si>
  <si>
    <t>Коллекторный шкаф</t>
  </si>
  <si>
    <t>стоимость</t>
  </si>
  <si>
    <t>Раковина на столешнице в с/у</t>
  </si>
  <si>
    <t>Инсталляция с унитазом в с/у</t>
  </si>
  <si>
    <t>Подготовка под раковину на кухне</t>
  </si>
  <si>
    <t>Подготовка под ПММ на кухне</t>
  </si>
  <si>
    <t>Подготовка под СМ в с/у</t>
  </si>
  <si>
    <t>Душевая зона в с/у</t>
  </si>
  <si>
    <t>Монтаж незамерзающего уличного крана</t>
  </si>
  <si>
    <t>Монтаж гигиенического душа</t>
  </si>
  <si>
    <t>Итого:</t>
  </si>
  <si>
    <t>сумма</t>
  </si>
  <si>
    <t>ЗАПОЛНИ ВКЛАДКУ №2 !!!</t>
  </si>
  <si>
    <t>Комплект материала для отделки скрытой ниши под коллектор и бойлер</t>
  </si>
  <si>
    <t>Монтаж скрытой ниши под коммуникации</t>
  </si>
  <si>
    <t>Терраса из доски хвойных пород на скрытом крепеже Camo</t>
  </si>
  <si>
    <t>Навес на вх.крыльцом с сплошной кровлей</t>
  </si>
  <si>
    <t>Навес над террасой с монолитным поликарбонатом</t>
  </si>
  <si>
    <t>Навес над террасой со сплошной кровлей</t>
  </si>
  <si>
    <t>Входное крыльцо (3кв.м.) со ступенями</t>
  </si>
  <si>
    <t>Таблица для заполнения Новая</t>
  </si>
  <si>
    <t>Погонные метры наружного фасада(доска/брусок, планкен)</t>
  </si>
  <si>
    <t>Соединение фановых труб под домом + ввод воды</t>
  </si>
  <si>
    <t xml:space="preserve">       </t>
  </si>
  <si>
    <t>Гигиенический душ Grohe BauFlow 23632000 с лейкой</t>
  </si>
  <si>
    <t>Монтаж стеклянной перегородки</t>
  </si>
  <si>
    <t xml:space="preserve">Ванна </t>
  </si>
  <si>
    <t>Монтаж ванны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</si>
</sst>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2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6" fillId="0" borderId="0" xfId="0" applyFont="1" applyAlignment="1">
      <alignment horizontal="center"/>
    </xf>
    <xf numFmtId="0" fontId="0" fillId="5" borderId="6" xfId="0" applyFill="1" applyBorder="1" applyAlignment="1">
      <alignment horizontal="center" vertical="center" shrinkToFit="1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0" fontId="0" fillId="21" borderId="6" xfId="0" applyFill="1" applyBorder="1" applyAlignment="1">
      <alignment horizontal="center"/>
    </xf>
    <xf numFmtId="44" fontId="0" fillId="0" borderId="6" xfId="1" applyFont="1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44" fontId="0" fillId="0" borderId="6" xfId="1" applyFont="1" applyBorder="1" applyAlignment="1">
      <alignment horizontal="center"/>
    </xf>
    <xf numFmtId="44" fontId="6" fillId="0" borderId="9" xfId="1" applyFont="1" applyBorder="1" applyAlignment="1">
      <alignment horizontal="center"/>
    </xf>
    <xf numFmtId="0" fontId="0" fillId="0" borderId="10" xfId="0" applyBorder="1" applyAlignment="1">
      <alignment horizontal="center" vertical="center" shrinkToFit="1"/>
    </xf>
    <xf numFmtId="0" fontId="0" fillId="0" borderId="19" xfId="0" applyBorder="1"/>
    <xf numFmtId="0" fontId="0" fillId="0" borderId="11" xfId="0" applyBorder="1"/>
    <xf numFmtId="0" fontId="0" fillId="0" borderId="21" xfId="0" applyBorder="1"/>
    <xf numFmtId="44" fontId="0" fillId="4" borderId="6" xfId="1" applyFont="1" applyFill="1" applyBorder="1" applyAlignment="1">
      <alignment horizontal="center"/>
    </xf>
    <xf numFmtId="44" fontId="0" fillId="4" borderId="12" xfId="1" applyFont="1" applyFill="1" applyBorder="1" applyAlignment="1">
      <alignment horizontal="center"/>
    </xf>
    <xf numFmtId="44" fontId="0" fillId="5" borderId="9" xfId="1" applyFont="1" applyFill="1" applyBorder="1" applyAlignment="1">
      <alignment horizontal="center"/>
    </xf>
    <xf numFmtId="44" fontId="0" fillId="4" borderId="5" xfId="1" applyFont="1" applyFill="1" applyBorder="1" applyAlignment="1">
      <alignment horizontal="center"/>
    </xf>
    <xf numFmtId="44" fontId="0" fillId="16" borderId="6" xfId="1" applyFont="1" applyFill="1" applyBorder="1" applyAlignment="1">
      <alignment horizontal="center"/>
    </xf>
    <xf numFmtId="44" fontId="0" fillId="3" borderId="6" xfId="1" applyFont="1" applyFill="1" applyBorder="1" applyAlignment="1">
      <alignment horizontal="center"/>
    </xf>
    <xf numFmtId="44" fontId="0" fillId="4" borderId="14" xfId="1" applyFont="1" applyFill="1" applyBorder="1" applyAlignment="1">
      <alignment horizontal="center"/>
    </xf>
    <xf numFmtId="44" fontId="0" fillId="12" borderId="5" xfId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44" fontId="0" fillId="9" borderId="6" xfId="1" applyFont="1" applyFill="1" applyBorder="1" applyAlignment="1">
      <alignment horizontal="center"/>
    </xf>
    <xf numFmtId="44" fontId="0" fillId="10" borderId="6" xfId="1" applyFont="1" applyFill="1" applyBorder="1" applyAlignment="1">
      <alignment horizontal="center"/>
    </xf>
    <xf numFmtId="44" fontId="0" fillId="11" borderId="6" xfId="1" applyFont="1" applyFill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13" borderId="6" xfId="1" applyFont="1" applyFill="1" applyBorder="1" applyAlignment="1">
      <alignment horizontal="center"/>
    </xf>
    <xf numFmtId="44" fontId="0" fillId="14" borderId="6" xfId="1" applyFont="1" applyFill="1" applyBorder="1" applyAlignment="1">
      <alignment horizontal="center"/>
    </xf>
    <xf numFmtId="44" fontId="0" fillId="15" borderId="6" xfId="1" applyFont="1" applyFill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17" borderId="16" xfId="1" applyFont="1" applyFill="1" applyBorder="1" applyAlignment="1">
      <alignment horizontal="center"/>
    </xf>
    <xf numFmtId="44" fontId="0" fillId="8" borderId="6" xfId="1" applyFont="1" applyFill="1" applyBorder="1" applyAlignment="1">
      <alignment horizontal="center"/>
    </xf>
    <xf numFmtId="44" fontId="0" fillId="18" borderId="16" xfId="1" applyFont="1" applyFill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6" borderId="7" xfId="1" applyFont="1" applyFill="1" applyBorder="1" applyAlignment="1">
      <alignment horizontal="center"/>
    </xf>
    <xf numFmtId="44" fontId="0" fillId="9" borderId="7" xfId="1" applyFont="1" applyFill="1" applyBorder="1" applyAlignment="1">
      <alignment horizontal="center"/>
    </xf>
    <xf numFmtId="44" fontId="0" fillId="10" borderId="7" xfId="1" applyFont="1" applyFill="1" applyBorder="1" applyAlignment="1">
      <alignment horizontal="center"/>
    </xf>
    <xf numFmtId="44" fontId="0" fillId="11" borderId="7" xfId="1" applyFont="1" applyFill="1" applyBorder="1" applyAlignment="1">
      <alignment horizontal="center"/>
    </xf>
    <xf numFmtId="44" fontId="0" fillId="13" borderId="7" xfId="1" applyFont="1" applyFill="1" applyBorder="1" applyAlignment="1">
      <alignment horizontal="center"/>
    </xf>
    <xf numFmtId="44" fontId="0" fillId="14" borderId="7" xfId="1" applyFont="1" applyFill="1" applyBorder="1" applyAlignment="1">
      <alignment horizontal="center"/>
    </xf>
    <xf numFmtId="44" fontId="0" fillId="15" borderId="7" xfId="1" applyFont="1" applyFill="1" applyBorder="1" applyAlignment="1">
      <alignment horizontal="center"/>
    </xf>
    <xf numFmtId="44" fontId="0" fillId="5" borderId="16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3" fillId="19" borderId="9" xfId="1" applyFont="1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0" borderId="14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44" fontId="0" fillId="0" borderId="14" xfId="1" applyFont="1" applyFill="1" applyBorder="1" applyAlignment="1">
      <alignment horizontal="center" vertical="center"/>
    </xf>
    <xf numFmtId="44" fontId="0" fillId="0" borderId="12" xfId="1" applyFont="1" applyBorder="1"/>
    <xf numFmtId="44" fontId="11" fillId="4" borderId="6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0" xfId="0" applyBorder="1" applyAlignment="1">
      <alignment horizontal="center"/>
    </xf>
    <xf numFmtId="0" fontId="6" fillId="21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0" borderId="18" xfId="0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8D4A-C734-264C-85C1-18A5D81F087A}">
  <dimension ref="A1:E46"/>
  <sheetViews>
    <sheetView tabSelected="1" zoomScaleNormal="100" workbookViewId="0">
      <selection activeCell="M37" sqref="M37"/>
    </sheetView>
  </sheetViews>
  <sheetFormatPr defaultColWidth="11" defaultRowHeight="15.75" x14ac:dyDescent="0.25"/>
  <cols>
    <col min="2" max="2" width="45.625" customWidth="1"/>
    <col min="3" max="3" width="9.125" customWidth="1"/>
    <col min="4" max="4" width="26" style="1" customWidth="1"/>
  </cols>
  <sheetData>
    <row r="1" spans="1:4" x14ac:dyDescent="0.25">
      <c r="A1" s="101" t="s">
        <v>135</v>
      </c>
      <c r="B1" s="101"/>
      <c r="C1" s="40"/>
    </row>
    <row r="2" spans="1:4" x14ac:dyDescent="0.25">
      <c r="A2" s="102"/>
      <c r="B2" s="102"/>
      <c r="C2" s="1" t="s">
        <v>77</v>
      </c>
      <c r="D2" s="1" t="s">
        <v>4</v>
      </c>
    </row>
    <row r="3" spans="1:4" x14ac:dyDescent="0.25">
      <c r="A3" s="97" t="s">
        <v>87</v>
      </c>
      <c r="B3" s="97"/>
      <c r="C3" s="6" t="s">
        <v>78</v>
      </c>
      <c r="D3" s="6"/>
    </row>
    <row r="4" spans="1:4" x14ac:dyDescent="0.25">
      <c r="A4" s="97" t="s">
        <v>65</v>
      </c>
      <c r="B4" s="97"/>
      <c r="C4" s="6" t="s">
        <v>78</v>
      </c>
      <c r="D4" s="6"/>
    </row>
    <row r="5" spans="1:4" x14ac:dyDescent="0.25">
      <c r="A5" s="97" t="s">
        <v>66</v>
      </c>
      <c r="B5" s="97"/>
      <c r="C5" s="6" t="s">
        <v>79</v>
      </c>
      <c r="D5" s="6"/>
    </row>
    <row r="6" spans="1:4" x14ac:dyDescent="0.25">
      <c r="A6" s="98"/>
      <c r="B6" s="99"/>
      <c r="C6" s="15"/>
      <c r="D6" s="6"/>
    </row>
    <row r="7" spans="1:4" x14ac:dyDescent="0.25">
      <c r="A7" s="98" t="s">
        <v>69</v>
      </c>
      <c r="B7" s="99"/>
      <c r="C7" s="15" t="s">
        <v>78</v>
      </c>
      <c r="D7" s="13"/>
    </row>
    <row r="8" spans="1:4" x14ac:dyDescent="0.25">
      <c r="A8" s="98" t="s">
        <v>70</v>
      </c>
      <c r="B8" s="99"/>
      <c r="C8" s="15" t="s">
        <v>78</v>
      </c>
      <c r="D8" s="13"/>
    </row>
    <row r="9" spans="1:4" x14ac:dyDescent="0.25">
      <c r="A9" s="98" t="s">
        <v>71</v>
      </c>
      <c r="B9" s="99"/>
      <c r="C9" s="15" t="s">
        <v>78</v>
      </c>
      <c r="D9" s="13"/>
    </row>
    <row r="10" spans="1:4" x14ac:dyDescent="0.25">
      <c r="A10" s="98" t="s">
        <v>72</v>
      </c>
      <c r="B10" s="99"/>
      <c r="C10" s="15" t="s">
        <v>78</v>
      </c>
      <c r="D10" s="13"/>
    </row>
    <row r="11" spans="1:4" x14ac:dyDescent="0.25">
      <c r="A11" s="98" t="s">
        <v>73</v>
      </c>
      <c r="B11" s="99"/>
      <c r="C11" s="15" t="s">
        <v>78</v>
      </c>
      <c r="D11" s="13"/>
    </row>
    <row r="12" spans="1:4" x14ac:dyDescent="0.25">
      <c r="A12" s="98"/>
      <c r="B12" s="99"/>
      <c r="C12" s="15"/>
      <c r="D12" s="6"/>
    </row>
    <row r="13" spans="1:4" x14ac:dyDescent="0.25">
      <c r="A13" s="98"/>
      <c r="B13" s="99"/>
      <c r="C13" s="15"/>
      <c r="D13" s="6"/>
    </row>
    <row r="14" spans="1:4" x14ac:dyDescent="0.25">
      <c r="A14" s="98" t="s">
        <v>136</v>
      </c>
      <c r="B14" s="99"/>
      <c r="C14" s="15" t="s">
        <v>60</v>
      </c>
      <c r="D14" s="23"/>
    </row>
    <row r="15" spans="1:4" x14ac:dyDescent="0.25">
      <c r="A15" s="98"/>
      <c r="B15" s="99"/>
      <c r="C15" s="15"/>
      <c r="D15" s="6"/>
    </row>
    <row r="16" spans="1:4" x14ac:dyDescent="0.25">
      <c r="A16" s="98"/>
      <c r="B16" s="99"/>
      <c r="C16" s="15"/>
      <c r="D16" s="6"/>
    </row>
    <row r="17" spans="1:4" x14ac:dyDescent="0.25">
      <c r="A17" s="97" t="s">
        <v>68</v>
      </c>
      <c r="B17" s="97"/>
      <c r="C17" s="6" t="s">
        <v>60</v>
      </c>
      <c r="D17" s="89"/>
    </row>
    <row r="18" spans="1:4" x14ac:dyDescent="0.25">
      <c r="A18" s="97" t="s">
        <v>67</v>
      </c>
      <c r="B18" s="97"/>
      <c r="C18" s="6" t="s">
        <v>60</v>
      </c>
      <c r="D18" s="89"/>
    </row>
    <row r="19" spans="1:4" x14ac:dyDescent="0.25">
      <c r="A19" s="97"/>
      <c r="B19" s="97"/>
      <c r="C19" s="6"/>
      <c r="D19" s="6"/>
    </row>
    <row r="20" spans="1:4" x14ac:dyDescent="0.25">
      <c r="A20" s="97" t="s">
        <v>28</v>
      </c>
      <c r="B20" s="97"/>
      <c r="C20" s="6" t="s">
        <v>60</v>
      </c>
      <c r="D20" s="6"/>
    </row>
    <row r="21" spans="1:4" x14ac:dyDescent="0.25">
      <c r="A21" s="97" t="s">
        <v>29</v>
      </c>
      <c r="B21" s="97"/>
      <c r="C21" s="6" t="s">
        <v>60</v>
      </c>
      <c r="D21" s="6"/>
    </row>
    <row r="22" spans="1:4" x14ac:dyDescent="0.25">
      <c r="A22" s="97" t="s">
        <v>30</v>
      </c>
      <c r="B22" s="97"/>
      <c r="C22" s="6" t="s">
        <v>60</v>
      </c>
      <c r="D22" s="6"/>
    </row>
    <row r="23" spans="1:4" x14ac:dyDescent="0.25">
      <c r="A23" s="97" t="s">
        <v>31</v>
      </c>
      <c r="B23" s="97"/>
      <c r="C23" s="6" t="s">
        <v>60</v>
      </c>
      <c r="D23" s="6"/>
    </row>
    <row r="24" spans="1:4" x14ac:dyDescent="0.25">
      <c r="A24" s="97" t="s">
        <v>32</v>
      </c>
      <c r="B24" s="97"/>
      <c r="C24" s="6" t="s">
        <v>60</v>
      </c>
      <c r="D24" s="6"/>
    </row>
    <row r="25" spans="1:4" x14ac:dyDescent="0.25">
      <c r="A25" s="97" t="s">
        <v>74</v>
      </c>
      <c r="B25" s="97"/>
      <c r="C25" s="6" t="s">
        <v>60</v>
      </c>
      <c r="D25" s="6"/>
    </row>
    <row r="26" spans="1:4" x14ac:dyDescent="0.25">
      <c r="A26" s="97"/>
      <c r="B26" s="97"/>
      <c r="C26" s="6"/>
      <c r="D26" s="6"/>
    </row>
    <row r="27" spans="1:4" x14ac:dyDescent="0.25">
      <c r="A27" s="97" t="s">
        <v>75</v>
      </c>
      <c r="B27" s="97"/>
      <c r="C27" s="6" t="s">
        <v>78</v>
      </c>
      <c r="D27" s="6"/>
    </row>
    <row r="28" spans="1:4" x14ac:dyDescent="0.25">
      <c r="A28" s="97" t="s">
        <v>76</v>
      </c>
      <c r="B28" s="97"/>
      <c r="C28" s="6" t="s">
        <v>78</v>
      </c>
      <c r="D28" s="6"/>
    </row>
    <row r="29" spans="1:4" x14ac:dyDescent="0.25">
      <c r="A29" s="97"/>
      <c r="B29" s="97"/>
      <c r="C29" s="6"/>
      <c r="D29" s="6"/>
    </row>
    <row r="30" spans="1:4" x14ac:dyDescent="0.25">
      <c r="A30" s="97" t="s">
        <v>80</v>
      </c>
      <c r="B30" s="97"/>
      <c r="C30" s="6" t="s">
        <v>39</v>
      </c>
      <c r="D30" s="6"/>
    </row>
    <row r="31" spans="1:4" x14ac:dyDescent="0.25">
      <c r="A31" s="97" t="s">
        <v>40</v>
      </c>
      <c r="B31" s="97"/>
      <c r="C31" s="6" t="s">
        <v>82</v>
      </c>
      <c r="D31" s="6"/>
    </row>
    <row r="32" spans="1:4" x14ac:dyDescent="0.25">
      <c r="A32" s="97" t="s">
        <v>81</v>
      </c>
      <c r="B32" s="97"/>
      <c r="C32" s="6" t="s">
        <v>82</v>
      </c>
      <c r="D32" s="6"/>
    </row>
    <row r="33" spans="1:5" x14ac:dyDescent="0.25">
      <c r="A33" s="97" t="s">
        <v>83</v>
      </c>
      <c r="B33" s="97"/>
      <c r="C33" s="6" t="s">
        <v>39</v>
      </c>
      <c r="D33" s="6"/>
    </row>
    <row r="34" spans="1:5" x14ac:dyDescent="0.25">
      <c r="A34" s="97" t="s">
        <v>84</v>
      </c>
      <c r="B34" s="97"/>
      <c r="C34" s="6" t="s">
        <v>82</v>
      </c>
      <c r="D34" s="6"/>
    </row>
    <row r="35" spans="1:5" x14ac:dyDescent="0.25">
      <c r="A35" s="97" t="s">
        <v>88</v>
      </c>
      <c r="B35" s="97"/>
      <c r="C35" s="6" t="s">
        <v>39</v>
      </c>
      <c r="D35" s="6"/>
    </row>
    <row r="36" spans="1:5" ht="17.100000000000001" customHeight="1" x14ac:dyDescent="0.25">
      <c r="A36" s="97" t="s">
        <v>86</v>
      </c>
      <c r="B36" s="97"/>
      <c r="C36" s="6" t="s">
        <v>39</v>
      </c>
      <c r="D36" s="6"/>
    </row>
    <row r="37" spans="1:5" x14ac:dyDescent="0.25">
      <c r="A37" s="98" t="s">
        <v>85</v>
      </c>
      <c r="B37" s="99"/>
      <c r="C37" s="6" t="s">
        <v>39</v>
      </c>
      <c r="D37" s="6"/>
    </row>
    <row r="38" spans="1:5" x14ac:dyDescent="0.25">
      <c r="A38" s="97" t="s">
        <v>110</v>
      </c>
      <c r="B38" s="97"/>
      <c r="C38" s="39"/>
      <c r="D38" s="90" t="s">
        <v>127</v>
      </c>
      <c r="E38" s="56"/>
    </row>
    <row r="39" spans="1:5" x14ac:dyDescent="0.25">
      <c r="A39" s="97"/>
      <c r="B39" s="97"/>
      <c r="C39" s="39"/>
      <c r="D39" s="6"/>
    </row>
    <row r="40" spans="1:5" x14ac:dyDescent="0.25">
      <c r="A40" s="100"/>
      <c r="B40" s="100"/>
      <c r="C40" s="39"/>
      <c r="D40" s="6"/>
    </row>
    <row r="41" spans="1:5" x14ac:dyDescent="0.25">
      <c r="A41" s="97"/>
      <c r="B41" s="97"/>
      <c r="C41" s="39"/>
      <c r="D41" s="6"/>
    </row>
    <row r="42" spans="1:5" x14ac:dyDescent="0.25">
      <c r="A42" s="97"/>
      <c r="B42" s="97"/>
      <c r="C42" s="39"/>
      <c r="D42" s="6"/>
    </row>
    <row r="43" spans="1:5" x14ac:dyDescent="0.25">
      <c r="A43" s="97"/>
      <c r="B43" s="97"/>
      <c r="C43" s="39"/>
      <c r="D43" s="6"/>
    </row>
    <row r="44" spans="1:5" x14ac:dyDescent="0.25">
      <c r="A44" s="97"/>
      <c r="B44" s="97"/>
      <c r="C44" s="39"/>
      <c r="D44" s="6"/>
    </row>
    <row r="45" spans="1:5" x14ac:dyDescent="0.25">
      <c r="A45" s="97"/>
      <c r="B45" s="97"/>
      <c r="C45" s="39"/>
      <c r="D45" s="6"/>
    </row>
    <row r="46" spans="1:5" x14ac:dyDescent="0.25">
      <c r="A46" s="96"/>
      <c r="B46" s="96"/>
    </row>
  </sheetData>
  <mergeCells count="46">
    <mergeCell ref="A18:B18"/>
    <mergeCell ref="A31:B31"/>
    <mergeCell ref="A21:B21"/>
    <mergeCell ref="A22:B22"/>
    <mergeCell ref="A23:B23"/>
    <mergeCell ref="A24:B24"/>
    <mergeCell ref="A32:B32"/>
    <mergeCell ref="A33:B33"/>
    <mergeCell ref="A34:B34"/>
    <mergeCell ref="A35:B35"/>
    <mergeCell ref="A13:B13"/>
    <mergeCell ref="A14:B14"/>
    <mergeCell ref="A16:B16"/>
    <mergeCell ref="A15:B15"/>
    <mergeCell ref="A25:B25"/>
    <mergeCell ref="A26:B26"/>
    <mergeCell ref="A27:B27"/>
    <mergeCell ref="A28:B28"/>
    <mergeCell ref="A29:B29"/>
    <mergeCell ref="A30:B30"/>
    <mergeCell ref="A19:B19"/>
    <mergeCell ref="A20:B20"/>
    <mergeCell ref="A1:B1"/>
    <mergeCell ref="A3:B3"/>
    <mergeCell ref="A4:B4"/>
    <mergeCell ref="A5:B5"/>
    <mergeCell ref="A17:B17"/>
    <mergeCell ref="A9:B9"/>
    <mergeCell ref="A12:B12"/>
    <mergeCell ref="A7:B7"/>
    <mergeCell ref="A8:B8"/>
    <mergeCell ref="A2:B2"/>
    <mergeCell ref="A6:B6"/>
    <mergeCell ref="A10:B10"/>
    <mergeCell ref="A11:B11"/>
    <mergeCell ref="A36:B36"/>
    <mergeCell ref="A37:B37"/>
    <mergeCell ref="A38:B38"/>
    <mergeCell ref="A39:B39"/>
    <mergeCell ref="A40:B40"/>
    <mergeCell ref="A46:B46"/>
    <mergeCell ref="A41:B41"/>
    <mergeCell ref="A42:B42"/>
    <mergeCell ref="A43:B43"/>
    <mergeCell ref="A44:B44"/>
    <mergeCell ref="A45:B45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16AD-F5C4-384B-A929-1BA335FB5F82}">
  <dimension ref="A1:L24"/>
  <sheetViews>
    <sheetView zoomScale="94" workbookViewId="0">
      <selection activeCell="A7" sqref="A7"/>
    </sheetView>
  </sheetViews>
  <sheetFormatPr defaultColWidth="11" defaultRowHeight="15.75" x14ac:dyDescent="0.25"/>
  <cols>
    <col min="1" max="1" width="69.375" customWidth="1"/>
    <col min="2" max="2" width="8" customWidth="1"/>
    <col min="4" max="4" width="17.625" bestFit="1" customWidth="1"/>
    <col min="5" max="5" width="15.875" customWidth="1"/>
    <col min="9" max="9" width="26" customWidth="1"/>
    <col min="11" max="11" width="13.375" customWidth="1"/>
    <col min="12" max="12" width="16.875" customWidth="1"/>
  </cols>
  <sheetData>
    <row r="1" spans="1:12" x14ac:dyDescent="0.25">
      <c r="A1" s="41" t="s">
        <v>89</v>
      </c>
      <c r="B1" s="42" t="s">
        <v>4</v>
      </c>
      <c r="C1" s="43" t="s">
        <v>3</v>
      </c>
      <c r="D1" s="44" t="s">
        <v>90</v>
      </c>
      <c r="E1" s="48" t="s">
        <v>107</v>
      </c>
      <c r="G1" s="103" t="s">
        <v>112</v>
      </c>
      <c r="H1" s="103"/>
      <c r="I1" s="103"/>
      <c r="J1" s="103"/>
      <c r="K1" s="103"/>
      <c r="L1" s="103"/>
    </row>
    <row r="2" spans="1:12" x14ac:dyDescent="0.25">
      <c r="A2" s="45" t="s">
        <v>91</v>
      </c>
      <c r="B2" s="6">
        <v>1</v>
      </c>
      <c r="C2" s="46" t="s">
        <v>39</v>
      </c>
      <c r="D2" s="49">
        <v>11000</v>
      </c>
      <c r="E2" s="51">
        <f t="shared" ref="E2:E23" si="0">B2*D2</f>
        <v>11000</v>
      </c>
      <c r="G2" s="104" t="s">
        <v>113</v>
      </c>
      <c r="H2" s="104"/>
      <c r="I2" s="104"/>
      <c r="J2" s="5" t="s">
        <v>4</v>
      </c>
      <c r="K2" s="5" t="s">
        <v>116</v>
      </c>
      <c r="L2" s="6" t="s">
        <v>126</v>
      </c>
    </row>
    <row r="3" spans="1:12" x14ac:dyDescent="0.25">
      <c r="A3" s="45" t="s">
        <v>92</v>
      </c>
      <c r="B3" s="6">
        <v>1</v>
      </c>
      <c r="C3" s="46" t="s">
        <v>39</v>
      </c>
      <c r="D3" s="49">
        <v>60000</v>
      </c>
      <c r="E3" s="51">
        <f t="shared" si="0"/>
        <v>60000</v>
      </c>
      <c r="G3" s="97" t="s">
        <v>114</v>
      </c>
      <c r="H3" s="97"/>
      <c r="I3" s="97"/>
      <c r="J3" s="6">
        <v>1</v>
      </c>
      <c r="K3" s="51">
        <v>7000</v>
      </c>
      <c r="L3" s="51">
        <f>J3*K3</f>
        <v>7000</v>
      </c>
    </row>
    <row r="4" spans="1:12" x14ac:dyDescent="0.25">
      <c r="A4" s="45" t="s">
        <v>93</v>
      </c>
      <c r="B4" s="6"/>
      <c r="C4" s="46" t="s">
        <v>39</v>
      </c>
      <c r="D4" s="49">
        <v>50000</v>
      </c>
      <c r="E4" s="51">
        <f t="shared" si="0"/>
        <v>0</v>
      </c>
      <c r="G4" s="97" t="s">
        <v>115</v>
      </c>
      <c r="H4" s="97"/>
      <c r="I4" s="97"/>
      <c r="J4" s="6">
        <v>1</v>
      </c>
      <c r="K4" s="51">
        <v>7000</v>
      </c>
      <c r="L4" s="51">
        <f t="shared" ref="L4:L16" si="1">J4*K4</f>
        <v>7000</v>
      </c>
    </row>
    <row r="5" spans="1:12" x14ac:dyDescent="0.25">
      <c r="A5" s="47" t="s">
        <v>94</v>
      </c>
      <c r="B5" s="6">
        <v>1</v>
      </c>
      <c r="C5" s="46" t="s">
        <v>39</v>
      </c>
      <c r="D5" s="49">
        <v>29000</v>
      </c>
      <c r="E5" s="51">
        <f t="shared" si="0"/>
        <v>29000</v>
      </c>
      <c r="G5" s="97" t="s">
        <v>121</v>
      </c>
      <c r="H5" s="97"/>
      <c r="I5" s="97"/>
      <c r="J5" s="6">
        <v>1</v>
      </c>
      <c r="K5" s="51">
        <v>7000</v>
      </c>
      <c r="L5" s="51">
        <f t="shared" si="1"/>
        <v>7000</v>
      </c>
    </row>
    <row r="6" spans="1:12" x14ac:dyDescent="0.25">
      <c r="A6" s="47" t="s">
        <v>139</v>
      </c>
      <c r="B6" s="6"/>
      <c r="C6" s="46" t="s">
        <v>39</v>
      </c>
      <c r="D6" s="49">
        <v>15000</v>
      </c>
      <c r="E6" s="51">
        <f t="shared" si="0"/>
        <v>0</v>
      </c>
      <c r="G6" s="97" t="s">
        <v>122</v>
      </c>
      <c r="H6" s="97"/>
      <c r="I6" s="97"/>
      <c r="J6" s="6">
        <v>1</v>
      </c>
      <c r="K6" s="51">
        <v>13000</v>
      </c>
      <c r="L6" s="51">
        <f t="shared" si="1"/>
        <v>13000</v>
      </c>
    </row>
    <row r="7" spans="1:12" x14ac:dyDescent="0.25">
      <c r="A7" s="45" t="s">
        <v>141</v>
      </c>
      <c r="B7" s="6"/>
      <c r="C7" s="46" t="s">
        <v>39</v>
      </c>
      <c r="D7" s="49">
        <v>70000</v>
      </c>
      <c r="E7" s="51">
        <f t="shared" si="0"/>
        <v>0</v>
      </c>
      <c r="G7" s="97" t="s">
        <v>117</v>
      </c>
      <c r="H7" s="97"/>
      <c r="I7" s="97"/>
      <c r="J7" s="6">
        <v>1</v>
      </c>
      <c r="K7" s="51">
        <v>7000</v>
      </c>
      <c r="L7" s="51">
        <f t="shared" si="1"/>
        <v>7000</v>
      </c>
    </row>
    <row r="8" spans="1:12" x14ac:dyDescent="0.25">
      <c r="A8" s="47" t="s">
        <v>95</v>
      </c>
      <c r="B8" s="6">
        <v>1</v>
      </c>
      <c r="C8" s="46" t="s">
        <v>39</v>
      </c>
      <c r="D8" s="49">
        <v>12000</v>
      </c>
      <c r="E8" s="51">
        <f t="shared" si="0"/>
        <v>12000</v>
      </c>
      <c r="G8" s="97" t="s">
        <v>118</v>
      </c>
      <c r="H8" s="97"/>
      <c r="I8" s="97"/>
      <c r="J8" s="6">
        <v>1</v>
      </c>
      <c r="K8" s="51">
        <v>10000</v>
      </c>
      <c r="L8" s="51">
        <f t="shared" si="1"/>
        <v>10000</v>
      </c>
    </row>
    <row r="9" spans="1:12" x14ac:dyDescent="0.25">
      <c r="A9" s="45" t="s">
        <v>106</v>
      </c>
      <c r="B9" s="6">
        <v>1</v>
      </c>
      <c r="C9" s="46" t="s">
        <v>39</v>
      </c>
      <c r="D9" s="49">
        <v>10000</v>
      </c>
      <c r="E9" s="51">
        <f t="shared" si="0"/>
        <v>10000</v>
      </c>
      <c r="G9" s="97" t="s">
        <v>119</v>
      </c>
      <c r="H9" s="97"/>
      <c r="I9" s="97"/>
      <c r="J9" s="6">
        <v>1</v>
      </c>
      <c r="K9" s="51">
        <v>7000</v>
      </c>
      <c r="L9" s="51">
        <f t="shared" si="1"/>
        <v>7000</v>
      </c>
    </row>
    <row r="10" spans="1:12" x14ac:dyDescent="0.25">
      <c r="A10" s="45" t="s">
        <v>96</v>
      </c>
      <c r="B10" s="6">
        <v>1</v>
      </c>
      <c r="C10" s="46" t="s">
        <v>39</v>
      </c>
      <c r="D10" s="49">
        <v>7000</v>
      </c>
      <c r="E10" s="51">
        <f t="shared" si="0"/>
        <v>7000</v>
      </c>
      <c r="G10" s="97" t="s">
        <v>120</v>
      </c>
      <c r="H10" s="97"/>
      <c r="I10" s="97"/>
      <c r="J10" s="6">
        <v>1</v>
      </c>
      <c r="K10" s="51">
        <v>7000</v>
      </c>
      <c r="L10" s="51">
        <f t="shared" si="1"/>
        <v>7000</v>
      </c>
    </row>
    <row r="11" spans="1:12" x14ac:dyDescent="0.25">
      <c r="A11" s="45" t="s">
        <v>97</v>
      </c>
      <c r="B11" s="6">
        <v>1</v>
      </c>
      <c r="C11" s="46" t="s">
        <v>39</v>
      </c>
      <c r="D11" s="49">
        <v>4500</v>
      </c>
      <c r="E11" s="51">
        <f t="shared" si="0"/>
        <v>4500</v>
      </c>
      <c r="G11" s="97" t="s">
        <v>137</v>
      </c>
      <c r="H11" s="97"/>
      <c r="I11" s="97"/>
      <c r="J11" s="6">
        <v>1</v>
      </c>
      <c r="K11" s="51">
        <v>10000</v>
      </c>
      <c r="L11" s="51">
        <f t="shared" si="1"/>
        <v>10000</v>
      </c>
    </row>
    <row r="12" spans="1:12" x14ac:dyDescent="0.25">
      <c r="A12" s="47" t="s">
        <v>98</v>
      </c>
      <c r="B12" s="6">
        <v>1</v>
      </c>
      <c r="C12" s="46" t="s">
        <v>39</v>
      </c>
      <c r="D12" s="49">
        <v>1500</v>
      </c>
      <c r="E12" s="51">
        <f t="shared" si="0"/>
        <v>1500</v>
      </c>
      <c r="G12" s="97" t="s">
        <v>123</v>
      </c>
      <c r="H12" s="97"/>
      <c r="I12" s="97"/>
      <c r="J12" s="6"/>
      <c r="K12" s="51">
        <v>7000</v>
      </c>
      <c r="L12" s="51">
        <f t="shared" si="1"/>
        <v>0</v>
      </c>
    </row>
    <row r="13" spans="1:12" x14ac:dyDescent="0.25">
      <c r="A13" s="47" t="s">
        <v>99</v>
      </c>
      <c r="B13" s="6">
        <v>1</v>
      </c>
      <c r="C13" s="46" t="s">
        <v>39</v>
      </c>
      <c r="D13" s="49">
        <v>850</v>
      </c>
      <c r="E13" s="51">
        <f t="shared" si="0"/>
        <v>850</v>
      </c>
      <c r="G13" s="97" t="s">
        <v>124</v>
      </c>
      <c r="H13" s="97"/>
      <c r="I13" s="97"/>
      <c r="J13" s="6"/>
      <c r="K13" s="51">
        <v>7000</v>
      </c>
      <c r="L13" s="51">
        <f t="shared" si="1"/>
        <v>0</v>
      </c>
    </row>
    <row r="14" spans="1:12" x14ac:dyDescent="0.25">
      <c r="A14" s="47" t="s">
        <v>100</v>
      </c>
      <c r="B14" s="6">
        <v>1</v>
      </c>
      <c r="C14" s="46" t="s">
        <v>39</v>
      </c>
      <c r="D14" s="49">
        <v>650</v>
      </c>
      <c r="E14" s="51">
        <f t="shared" si="0"/>
        <v>650</v>
      </c>
      <c r="G14" s="97" t="s">
        <v>129</v>
      </c>
      <c r="H14" s="97"/>
      <c r="I14" s="97"/>
      <c r="J14" s="6"/>
      <c r="K14" s="51">
        <v>7000</v>
      </c>
      <c r="L14" s="51">
        <f t="shared" si="1"/>
        <v>0</v>
      </c>
    </row>
    <row r="15" spans="1:12" x14ac:dyDescent="0.25">
      <c r="A15" s="45" t="s">
        <v>101</v>
      </c>
      <c r="B15" s="6"/>
      <c r="C15" s="46" t="s">
        <v>39</v>
      </c>
      <c r="D15" s="49">
        <v>10000</v>
      </c>
      <c r="E15" s="51">
        <f t="shared" si="0"/>
        <v>0</v>
      </c>
      <c r="G15" s="97" t="s">
        <v>140</v>
      </c>
      <c r="H15" s="97"/>
      <c r="I15" s="97"/>
      <c r="J15" s="6">
        <v>1</v>
      </c>
      <c r="K15" s="51">
        <v>7000</v>
      </c>
      <c r="L15" s="51">
        <f t="shared" si="1"/>
        <v>7000</v>
      </c>
    </row>
    <row r="16" spans="1:12" x14ac:dyDescent="0.25">
      <c r="A16" s="45" t="s">
        <v>102</v>
      </c>
      <c r="B16" s="6">
        <v>1</v>
      </c>
      <c r="C16" s="46" t="s">
        <v>39</v>
      </c>
      <c r="D16" s="49">
        <v>20000</v>
      </c>
      <c r="E16" s="51">
        <f t="shared" si="0"/>
        <v>20000</v>
      </c>
      <c r="G16" s="97" t="s">
        <v>142</v>
      </c>
      <c r="H16" s="97"/>
      <c r="I16" s="97"/>
      <c r="J16" s="6"/>
      <c r="K16" s="51">
        <v>10000</v>
      </c>
      <c r="L16" s="51">
        <f t="shared" si="1"/>
        <v>0</v>
      </c>
    </row>
    <row r="17" spans="1:12" x14ac:dyDescent="0.25">
      <c r="A17" s="45" t="s">
        <v>103</v>
      </c>
      <c r="B17" s="6"/>
      <c r="C17" s="46" t="s">
        <v>39</v>
      </c>
      <c r="D17" s="49">
        <v>17000</v>
      </c>
      <c r="E17" s="51">
        <f t="shared" si="0"/>
        <v>0</v>
      </c>
      <c r="G17" s="97" t="s">
        <v>125</v>
      </c>
      <c r="H17" s="97"/>
      <c r="I17" s="97"/>
      <c r="J17" s="6">
        <f>SUM(J3:J16)</f>
        <v>10</v>
      </c>
      <c r="K17" s="6"/>
      <c r="L17" s="51">
        <f>SUM(L3:L16)</f>
        <v>82000</v>
      </c>
    </row>
    <row r="18" spans="1:12" x14ac:dyDescent="0.25">
      <c r="A18" s="45" t="s">
        <v>108</v>
      </c>
      <c r="B18" s="6">
        <v>1</v>
      </c>
      <c r="C18" s="46" t="s">
        <v>39</v>
      </c>
      <c r="D18" s="49">
        <v>11000</v>
      </c>
      <c r="E18" s="51">
        <f t="shared" si="0"/>
        <v>11000</v>
      </c>
    </row>
    <row r="19" spans="1:12" x14ac:dyDescent="0.25">
      <c r="A19" s="45" t="s">
        <v>104</v>
      </c>
      <c r="B19" s="6">
        <v>1</v>
      </c>
      <c r="C19" s="46" t="s">
        <v>39</v>
      </c>
      <c r="D19" s="49">
        <v>30000</v>
      </c>
      <c r="E19" s="51">
        <f t="shared" si="0"/>
        <v>30000</v>
      </c>
      <c r="K19" t="s">
        <v>138</v>
      </c>
    </row>
    <row r="20" spans="1:12" x14ac:dyDescent="0.25">
      <c r="A20" s="45" t="s">
        <v>105</v>
      </c>
      <c r="B20" s="6">
        <v>1</v>
      </c>
      <c r="C20" s="46" t="s">
        <v>39</v>
      </c>
      <c r="D20" s="50">
        <v>2500</v>
      </c>
      <c r="E20" s="51">
        <f t="shared" si="0"/>
        <v>2500</v>
      </c>
    </row>
    <row r="21" spans="1:12" x14ac:dyDescent="0.25">
      <c r="A21" s="45" t="s">
        <v>109</v>
      </c>
      <c r="B21" s="6">
        <v>1</v>
      </c>
      <c r="C21" s="46" t="s">
        <v>48</v>
      </c>
      <c r="D21" s="49">
        <v>5000</v>
      </c>
      <c r="E21" s="51">
        <f t="shared" si="0"/>
        <v>5000</v>
      </c>
    </row>
    <row r="22" spans="1:12" x14ac:dyDescent="0.25">
      <c r="A22" s="45" t="s">
        <v>63</v>
      </c>
      <c r="B22" s="6"/>
      <c r="C22" s="46" t="s">
        <v>39</v>
      </c>
      <c r="D22" s="49">
        <v>5000</v>
      </c>
      <c r="E22" s="51">
        <f t="shared" si="0"/>
        <v>0</v>
      </c>
    </row>
    <row r="23" spans="1:12" ht="16.5" thickBot="1" x14ac:dyDescent="0.3">
      <c r="A23" s="91" t="s">
        <v>128</v>
      </c>
      <c r="C23" s="92" t="s">
        <v>48</v>
      </c>
      <c r="D23" s="93">
        <v>5000</v>
      </c>
      <c r="E23" s="94">
        <f t="shared" si="0"/>
        <v>0</v>
      </c>
    </row>
    <row r="24" spans="1:12" ht="16.5" thickBot="1" x14ac:dyDescent="0.3">
      <c r="A24" s="53" t="s">
        <v>111</v>
      </c>
      <c r="B24" s="54"/>
      <c r="C24" s="54"/>
      <c r="D24" s="55"/>
      <c r="E24" s="52">
        <f>SUM(E2:E23)</f>
        <v>205000</v>
      </c>
    </row>
  </sheetData>
  <mergeCells count="17">
    <mergeCell ref="G11:I11"/>
    <mergeCell ref="G12:I12"/>
    <mergeCell ref="G2:I2"/>
    <mergeCell ref="G3:I3"/>
    <mergeCell ref="G4:I4"/>
    <mergeCell ref="G5:I5"/>
    <mergeCell ref="G6:I6"/>
    <mergeCell ref="G1:L1"/>
    <mergeCell ref="G7:I7"/>
    <mergeCell ref="G8:I8"/>
    <mergeCell ref="G9:I9"/>
    <mergeCell ref="G10:I10"/>
    <mergeCell ref="G13:I13"/>
    <mergeCell ref="G14:I14"/>
    <mergeCell ref="G15:I15"/>
    <mergeCell ref="G16:I16"/>
    <mergeCell ref="G17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7199-4E4C-A246-99A9-E7924305D5BC}">
  <dimension ref="A1:O62"/>
  <sheetViews>
    <sheetView topLeftCell="A4" zoomScale="70" zoomScaleNormal="70" workbookViewId="0">
      <selection activeCell="R52" sqref="R52"/>
    </sheetView>
  </sheetViews>
  <sheetFormatPr defaultColWidth="9.125" defaultRowHeight="15.75" x14ac:dyDescent="0.25"/>
  <cols>
    <col min="1" max="1" width="57" style="1" customWidth="1"/>
    <col min="2" max="2" width="9.875" style="1" bestFit="1" customWidth="1"/>
    <col min="3" max="3" width="10.625" style="1" customWidth="1"/>
    <col min="4" max="4" width="23.5" style="1" bestFit="1" customWidth="1"/>
    <col min="5" max="5" width="22.5" style="1" bestFit="1" customWidth="1"/>
    <col min="6" max="6" width="18.625" style="1" bestFit="1" customWidth="1"/>
    <col min="7" max="7" width="26.5" style="1" bestFit="1" customWidth="1"/>
    <col min="8" max="8" width="16.875" style="1" bestFit="1" customWidth="1"/>
    <col min="9" max="9" width="19.375" style="1" bestFit="1" customWidth="1"/>
    <col min="10" max="14" width="9.125" style="1"/>
    <col min="15" max="15" width="23.125" style="1" customWidth="1"/>
    <col min="16" max="256" width="9.125" style="1"/>
    <col min="257" max="257" width="47.5" style="1" bestFit="1" customWidth="1"/>
    <col min="258" max="258" width="9.875" style="1" bestFit="1" customWidth="1"/>
    <col min="259" max="259" width="10.625" style="1" customWidth="1"/>
    <col min="260" max="260" width="23.5" style="1" bestFit="1" customWidth="1"/>
    <col min="261" max="261" width="22.5" style="1" bestFit="1" customWidth="1"/>
    <col min="262" max="262" width="18.625" style="1" bestFit="1" customWidth="1"/>
    <col min="263" max="263" width="26.5" style="1" bestFit="1" customWidth="1"/>
    <col min="264" max="264" width="16.875" style="1" bestFit="1" customWidth="1"/>
    <col min="265" max="265" width="18.125" style="1" customWidth="1"/>
    <col min="266" max="270" width="9.125" style="1"/>
    <col min="271" max="271" width="23.125" style="1" customWidth="1"/>
    <col min="272" max="512" width="9.125" style="1"/>
    <col min="513" max="513" width="47.5" style="1" bestFit="1" customWidth="1"/>
    <col min="514" max="514" width="9.875" style="1" bestFit="1" customWidth="1"/>
    <col min="515" max="515" width="10.625" style="1" customWidth="1"/>
    <col min="516" max="516" width="23.5" style="1" bestFit="1" customWidth="1"/>
    <col min="517" max="517" width="22.5" style="1" bestFit="1" customWidth="1"/>
    <col min="518" max="518" width="18.625" style="1" bestFit="1" customWidth="1"/>
    <col min="519" max="519" width="26.5" style="1" bestFit="1" customWidth="1"/>
    <col min="520" max="520" width="16.875" style="1" bestFit="1" customWidth="1"/>
    <col min="521" max="521" width="18.125" style="1" customWidth="1"/>
    <col min="522" max="526" width="9.125" style="1"/>
    <col min="527" max="527" width="23.125" style="1" customWidth="1"/>
    <col min="528" max="768" width="9.125" style="1"/>
    <col min="769" max="769" width="47.5" style="1" bestFit="1" customWidth="1"/>
    <col min="770" max="770" width="9.875" style="1" bestFit="1" customWidth="1"/>
    <col min="771" max="771" width="10.625" style="1" customWidth="1"/>
    <col min="772" max="772" width="23.5" style="1" bestFit="1" customWidth="1"/>
    <col min="773" max="773" width="22.5" style="1" bestFit="1" customWidth="1"/>
    <col min="774" max="774" width="18.625" style="1" bestFit="1" customWidth="1"/>
    <col min="775" max="775" width="26.5" style="1" bestFit="1" customWidth="1"/>
    <col min="776" max="776" width="16.875" style="1" bestFit="1" customWidth="1"/>
    <col min="777" max="777" width="18.125" style="1" customWidth="1"/>
    <col min="778" max="782" width="9.125" style="1"/>
    <col min="783" max="783" width="23.125" style="1" customWidth="1"/>
    <col min="784" max="1024" width="9.125" style="1"/>
    <col min="1025" max="1025" width="47.5" style="1" bestFit="1" customWidth="1"/>
    <col min="1026" max="1026" width="9.875" style="1" bestFit="1" customWidth="1"/>
    <col min="1027" max="1027" width="10.625" style="1" customWidth="1"/>
    <col min="1028" max="1028" width="23.5" style="1" bestFit="1" customWidth="1"/>
    <col min="1029" max="1029" width="22.5" style="1" bestFit="1" customWidth="1"/>
    <col min="1030" max="1030" width="18.625" style="1" bestFit="1" customWidth="1"/>
    <col min="1031" max="1031" width="26.5" style="1" bestFit="1" customWidth="1"/>
    <col min="1032" max="1032" width="16.875" style="1" bestFit="1" customWidth="1"/>
    <col min="1033" max="1033" width="18.125" style="1" customWidth="1"/>
    <col min="1034" max="1038" width="9.125" style="1"/>
    <col min="1039" max="1039" width="23.125" style="1" customWidth="1"/>
    <col min="1040" max="1280" width="9.125" style="1"/>
    <col min="1281" max="1281" width="47.5" style="1" bestFit="1" customWidth="1"/>
    <col min="1282" max="1282" width="9.875" style="1" bestFit="1" customWidth="1"/>
    <col min="1283" max="1283" width="10.625" style="1" customWidth="1"/>
    <col min="1284" max="1284" width="23.5" style="1" bestFit="1" customWidth="1"/>
    <col min="1285" max="1285" width="22.5" style="1" bestFit="1" customWidth="1"/>
    <col min="1286" max="1286" width="18.625" style="1" bestFit="1" customWidth="1"/>
    <col min="1287" max="1287" width="26.5" style="1" bestFit="1" customWidth="1"/>
    <col min="1288" max="1288" width="16.875" style="1" bestFit="1" customWidth="1"/>
    <col min="1289" max="1289" width="18.125" style="1" customWidth="1"/>
    <col min="1290" max="1294" width="9.125" style="1"/>
    <col min="1295" max="1295" width="23.125" style="1" customWidth="1"/>
    <col min="1296" max="1536" width="9.125" style="1"/>
    <col min="1537" max="1537" width="47.5" style="1" bestFit="1" customWidth="1"/>
    <col min="1538" max="1538" width="9.875" style="1" bestFit="1" customWidth="1"/>
    <col min="1539" max="1539" width="10.625" style="1" customWidth="1"/>
    <col min="1540" max="1540" width="23.5" style="1" bestFit="1" customWidth="1"/>
    <col min="1541" max="1541" width="22.5" style="1" bestFit="1" customWidth="1"/>
    <col min="1542" max="1542" width="18.625" style="1" bestFit="1" customWidth="1"/>
    <col min="1543" max="1543" width="26.5" style="1" bestFit="1" customWidth="1"/>
    <col min="1544" max="1544" width="16.875" style="1" bestFit="1" customWidth="1"/>
    <col min="1545" max="1545" width="18.125" style="1" customWidth="1"/>
    <col min="1546" max="1550" width="9.125" style="1"/>
    <col min="1551" max="1551" width="23.125" style="1" customWidth="1"/>
    <col min="1552" max="1792" width="9.125" style="1"/>
    <col min="1793" max="1793" width="47.5" style="1" bestFit="1" customWidth="1"/>
    <col min="1794" max="1794" width="9.875" style="1" bestFit="1" customWidth="1"/>
    <col min="1795" max="1795" width="10.625" style="1" customWidth="1"/>
    <col min="1796" max="1796" width="23.5" style="1" bestFit="1" customWidth="1"/>
    <col min="1797" max="1797" width="22.5" style="1" bestFit="1" customWidth="1"/>
    <col min="1798" max="1798" width="18.625" style="1" bestFit="1" customWidth="1"/>
    <col min="1799" max="1799" width="26.5" style="1" bestFit="1" customWidth="1"/>
    <col min="1800" max="1800" width="16.875" style="1" bestFit="1" customWidth="1"/>
    <col min="1801" max="1801" width="18.125" style="1" customWidth="1"/>
    <col min="1802" max="1806" width="9.125" style="1"/>
    <col min="1807" max="1807" width="23.125" style="1" customWidth="1"/>
    <col min="1808" max="2048" width="9.125" style="1"/>
    <col min="2049" max="2049" width="47.5" style="1" bestFit="1" customWidth="1"/>
    <col min="2050" max="2050" width="9.875" style="1" bestFit="1" customWidth="1"/>
    <col min="2051" max="2051" width="10.625" style="1" customWidth="1"/>
    <col min="2052" max="2052" width="23.5" style="1" bestFit="1" customWidth="1"/>
    <col min="2053" max="2053" width="22.5" style="1" bestFit="1" customWidth="1"/>
    <col min="2054" max="2054" width="18.625" style="1" bestFit="1" customWidth="1"/>
    <col min="2055" max="2055" width="26.5" style="1" bestFit="1" customWidth="1"/>
    <col min="2056" max="2056" width="16.875" style="1" bestFit="1" customWidth="1"/>
    <col min="2057" max="2057" width="18.125" style="1" customWidth="1"/>
    <col min="2058" max="2062" width="9.125" style="1"/>
    <col min="2063" max="2063" width="23.125" style="1" customWidth="1"/>
    <col min="2064" max="2304" width="9.125" style="1"/>
    <col min="2305" max="2305" width="47.5" style="1" bestFit="1" customWidth="1"/>
    <col min="2306" max="2306" width="9.875" style="1" bestFit="1" customWidth="1"/>
    <col min="2307" max="2307" width="10.625" style="1" customWidth="1"/>
    <col min="2308" max="2308" width="23.5" style="1" bestFit="1" customWidth="1"/>
    <col min="2309" max="2309" width="22.5" style="1" bestFit="1" customWidth="1"/>
    <col min="2310" max="2310" width="18.625" style="1" bestFit="1" customWidth="1"/>
    <col min="2311" max="2311" width="26.5" style="1" bestFit="1" customWidth="1"/>
    <col min="2312" max="2312" width="16.875" style="1" bestFit="1" customWidth="1"/>
    <col min="2313" max="2313" width="18.125" style="1" customWidth="1"/>
    <col min="2314" max="2318" width="9.125" style="1"/>
    <col min="2319" max="2319" width="23.125" style="1" customWidth="1"/>
    <col min="2320" max="2560" width="9.125" style="1"/>
    <col min="2561" max="2561" width="47.5" style="1" bestFit="1" customWidth="1"/>
    <col min="2562" max="2562" width="9.875" style="1" bestFit="1" customWidth="1"/>
    <col min="2563" max="2563" width="10.625" style="1" customWidth="1"/>
    <col min="2564" max="2564" width="23.5" style="1" bestFit="1" customWidth="1"/>
    <col min="2565" max="2565" width="22.5" style="1" bestFit="1" customWidth="1"/>
    <col min="2566" max="2566" width="18.625" style="1" bestFit="1" customWidth="1"/>
    <col min="2567" max="2567" width="26.5" style="1" bestFit="1" customWidth="1"/>
    <col min="2568" max="2568" width="16.875" style="1" bestFit="1" customWidth="1"/>
    <col min="2569" max="2569" width="18.125" style="1" customWidth="1"/>
    <col min="2570" max="2574" width="9.125" style="1"/>
    <col min="2575" max="2575" width="23.125" style="1" customWidth="1"/>
    <col min="2576" max="2816" width="9.125" style="1"/>
    <col min="2817" max="2817" width="47.5" style="1" bestFit="1" customWidth="1"/>
    <col min="2818" max="2818" width="9.875" style="1" bestFit="1" customWidth="1"/>
    <col min="2819" max="2819" width="10.625" style="1" customWidth="1"/>
    <col min="2820" max="2820" width="23.5" style="1" bestFit="1" customWidth="1"/>
    <col min="2821" max="2821" width="22.5" style="1" bestFit="1" customWidth="1"/>
    <col min="2822" max="2822" width="18.625" style="1" bestFit="1" customWidth="1"/>
    <col min="2823" max="2823" width="26.5" style="1" bestFit="1" customWidth="1"/>
    <col min="2824" max="2824" width="16.875" style="1" bestFit="1" customWidth="1"/>
    <col min="2825" max="2825" width="18.125" style="1" customWidth="1"/>
    <col min="2826" max="2830" width="9.125" style="1"/>
    <col min="2831" max="2831" width="23.125" style="1" customWidth="1"/>
    <col min="2832" max="3072" width="9.125" style="1"/>
    <col min="3073" max="3073" width="47.5" style="1" bestFit="1" customWidth="1"/>
    <col min="3074" max="3074" width="9.875" style="1" bestFit="1" customWidth="1"/>
    <col min="3075" max="3075" width="10.625" style="1" customWidth="1"/>
    <col min="3076" max="3076" width="23.5" style="1" bestFit="1" customWidth="1"/>
    <col min="3077" max="3077" width="22.5" style="1" bestFit="1" customWidth="1"/>
    <col min="3078" max="3078" width="18.625" style="1" bestFit="1" customWidth="1"/>
    <col min="3079" max="3079" width="26.5" style="1" bestFit="1" customWidth="1"/>
    <col min="3080" max="3080" width="16.875" style="1" bestFit="1" customWidth="1"/>
    <col min="3081" max="3081" width="18.125" style="1" customWidth="1"/>
    <col min="3082" max="3086" width="9.125" style="1"/>
    <col min="3087" max="3087" width="23.125" style="1" customWidth="1"/>
    <col min="3088" max="3328" width="9.125" style="1"/>
    <col min="3329" max="3329" width="47.5" style="1" bestFit="1" customWidth="1"/>
    <col min="3330" max="3330" width="9.875" style="1" bestFit="1" customWidth="1"/>
    <col min="3331" max="3331" width="10.625" style="1" customWidth="1"/>
    <col min="3332" max="3332" width="23.5" style="1" bestFit="1" customWidth="1"/>
    <col min="3333" max="3333" width="22.5" style="1" bestFit="1" customWidth="1"/>
    <col min="3334" max="3334" width="18.625" style="1" bestFit="1" customWidth="1"/>
    <col min="3335" max="3335" width="26.5" style="1" bestFit="1" customWidth="1"/>
    <col min="3336" max="3336" width="16.875" style="1" bestFit="1" customWidth="1"/>
    <col min="3337" max="3337" width="18.125" style="1" customWidth="1"/>
    <col min="3338" max="3342" width="9.125" style="1"/>
    <col min="3343" max="3343" width="23.125" style="1" customWidth="1"/>
    <col min="3344" max="3584" width="9.125" style="1"/>
    <col min="3585" max="3585" width="47.5" style="1" bestFit="1" customWidth="1"/>
    <col min="3586" max="3586" width="9.875" style="1" bestFit="1" customWidth="1"/>
    <col min="3587" max="3587" width="10.625" style="1" customWidth="1"/>
    <col min="3588" max="3588" width="23.5" style="1" bestFit="1" customWidth="1"/>
    <col min="3589" max="3589" width="22.5" style="1" bestFit="1" customWidth="1"/>
    <col min="3590" max="3590" width="18.625" style="1" bestFit="1" customWidth="1"/>
    <col min="3591" max="3591" width="26.5" style="1" bestFit="1" customWidth="1"/>
    <col min="3592" max="3592" width="16.875" style="1" bestFit="1" customWidth="1"/>
    <col min="3593" max="3593" width="18.125" style="1" customWidth="1"/>
    <col min="3594" max="3598" width="9.125" style="1"/>
    <col min="3599" max="3599" width="23.125" style="1" customWidth="1"/>
    <col min="3600" max="3840" width="9.125" style="1"/>
    <col min="3841" max="3841" width="47.5" style="1" bestFit="1" customWidth="1"/>
    <col min="3842" max="3842" width="9.875" style="1" bestFit="1" customWidth="1"/>
    <col min="3843" max="3843" width="10.625" style="1" customWidth="1"/>
    <col min="3844" max="3844" width="23.5" style="1" bestFit="1" customWidth="1"/>
    <col min="3845" max="3845" width="22.5" style="1" bestFit="1" customWidth="1"/>
    <col min="3846" max="3846" width="18.625" style="1" bestFit="1" customWidth="1"/>
    <col min="3847" max="3847" width="26.5" style="1" bestFit="1" customWidth="1"/>
    <col min="3848" max="3848" width="16.875" style="1" bestFit="1" customWidth="1"/>
    <col min="3849" max="3849" width="18.125" style="1" customWidth="1"/>
    <col min="3850" max="3854" width="9.125" style="1"/>
    <col min="3855" max="3855" width="23.125" style="1" customWidth="1"/>
    <col min="3856" max="4096" width="9.125" style="1"/>
    <col min="4097" max="4097" width="47.5" style="1" bestFit="1" customWidth="1"/>
    <col min="4098" max="4098" width="9.875" style="1" bestFit="1" customWidth="1"/>
    <col min="4099" max="4099" width="10.625" style="1" customWidth="1"/>
    <col min="4100" max="4100" width="23.5" style="1" bestFit="1" customWidth="1"/>
    <col min="4101" max="4101" width="22.5" style="1" bestFit="1" customWidth="1"/>
    <col min="4102" max="4102" width="18.625" style="1" bestFit="1" customWidth="1"/>
    <col min="4103" max="4103" width="26.5" style="1" bestFit="1" customWidth="1"/>
    <col min="4104" max="4104" width="16.875" style="1" bestFit="1" customWidth="1"/>
    <col min="4105" max="4105" width="18.125" style="1" customWidth="1"/>
    <col min="4106" max="4110" width="9.125" style="1"/>
    <col min="4111" max="4111" width="23.125" style="1" customWidth="1"/>
    <col min="4112" max="4352" width="9.125" style="1"/>
    <col min="4353" max="4353" width="47.5" style="1" bestFit="1" customWidth="1"/>
    <col min="4354" max="4354" width="9.875" style="1" bestFit="1" customWidth="1"/>
    <col min="4355" max="4355" width="10.625" style="1" customWidth="1"/>
    <col min="4356" max="4356" width="23.5" style="1" bestFit="1" customWidth="1"/>
    <col min="4357" max="4357" width="22.5" style="1" bestFit="1" customWidth="1"/>
    <col min="4358" max="4358" width="18.625" style="1" bestFit="1" customWidth="1"/>
    <col min="4359" max="4359" width="26.5" style="1" bestFit="1" customWidth="1"/>
    <col min="4360" max="4360" width="16.875" style="1" bestFit="1" customWidth="1"/>
    <col min="4361" max="4361" width="18.125" style="1" customWidth="1"/>
    <col min="4362" max="4366" width="9.125" style="1"/>
    <col min="4367" max="4367" width="23.125" style="1" customWidth="1"/>
    <col min="4368" max="4608" width="9.125" style="1"/>
    <col min="4609" max="4609" width="47.5" style="1" bestFit="1" customWidth="1"/>
    <col min="4610" max="4610" width="9.875" style="1" bestFit="1" customWidth="1"/>
    <col min="4611" max="4611" width="10.625" style="1" customWidth="1"/>
    <col min="4612" max="4612" width="23.5" style="1" bestFit="1" customWidth="1"/>
    <col min="4613" max="4613" width="22.5" style="1" bestFit="1" customWidth="1"/>
    <col min="4614" max="4614" width="18.625" style="1" bestFit="1" customWidth="1"/>
    <col min="4615" max="4615" width="26.5" style="1" bestFit="1" customWidth="1"/>
    <col min="4616" max="4616" width="16.875" style="1" bestFit="1" customWidth="1"/>
    <col min="4617" max="4617" width="18.125" style="1" customWidth="1"/>
    <col min="4618" max="4622" width="9.125" style="1"/>
    <col min="4623" max="4623" width="23.125" style="1" customWidth="1"/>
    <col min="4624" max="4864" width="9.125" style="1"/>
    <col min="4865" max="4865" width="47.5" style="1" bestFit="1" customWidth="1"/>
    <col min="4866" max="4866" width="9.875" style="1" bestFit="1" customWidth="1"/>
    <col min="4867" max="4867" width="10.625" style="1" customWidth="1"/>
    <col min="4868" max="4868" width="23.5" style="1" bestFit="1" customWidth="1"/>
    <col min="4869" max="4869" width="22.5" style="1" bestFit="1" customWidth="1"/>
    <col min="4870" max="4870" width="18.625" style="1" bestFit="1" customWidth="1"/>
    <col min="4871" max="4871" width="26.5" style="1" bestFit="1" customWidth="1"/>
    <col min="4872" max="4872" width="16.875" style="1" bestFit="1" customWidth="1"/>
    <col min="4873" max="4873" width="18.125" style="1" customWidth="1"/>
    <col min="4874" max="4878" width="9.125" style="1"/>
    <col min="4879" max="4879" width="23.125" style="1" customWidth="1"/>
    <col min="4880" max="5120" width="9.125" style="1"/>
    <col min="5121" max="5121" width="47.5" style="1" bestFit="1" customWidth="1"/>
    <col min="5122" max="5122" width="9.875" style="1" bestFit="1" customWidth="1"/>
    <col min="5123" max="5123" width="10.625" style="1" customWidth="1"/>
    <col min="5124" max="5124" width="23.5" style="1" bestFit="1" customWidth="1"/>
    <col min="5125" max="5125" width="22.5" style="1" bestFit="1" customWidth="1"/>
    <col min="5126" max="5126" width="18.625" style="1" bestFit="1" customWidth="1"/>
    <col min="5127" max="5127" width="26.5" style="1" bestFit="1" customWidth="1"/>
    <col min="5128" max="5128" width="16.875" style="1" bestFit="1" customWidth="1"/>
    <col min="5129" max="5129" width="18.125" style="1" customWidth="1"/>
    <col min="5130" max="5134" width="9.125" style="1"/>
    <col min="5135" max="5135" width="23.125" style="1" customWidth="1"/>
    <col min="5136" max="5376" width="9.125" style="1"/>
    <col min="5377" max="5377" width="47.5" style="1" bestFit="1" customWidth="1"/>
    <col min="5378" max="5378" width="9.875" style="1" bestFit="1" customWidth="1"/>
    <col min="5379" max="5379" width="10.625" style="1" customWidth="1"/>
    <col min="5380" max="5380" width="23.5" style="1" bestFit="1" customWidth="1"/>
    <col min="5381" max="5381" width="22.5" style="1" bestFit="1" customWidth="1"/>
    <col min="5382" max="5382" width="18.625" style="1" bestFit="1" customWidth="1"/>
    <col min="5383" max="5383" width="26.5" style="1" bestFit="1" customWidth="1"/>
    <col min="5384" max="5384" width="16.875" style="1" bestFit="1" customWidth="1"/>
    <col min="5385" max="5385" width="18.125" style="1" customWidth="1"/>
    <col min="5386" max="5390" width="9.125" style="1"/>
    <col min="5391" max="5391" width="23.125" style="1" customWidth="1"/>
    <col min="5392" max="5632" width="9.125" style="1"/>
    <col min="5633" max="5633" width="47.5" style="1" bestFit="1" customWidth="1"/>
    <col min="5634" max="5634" width="9.875" style="1" bestFit="1" customWidth="1"/>
    <col min="5635" max="5635" width="10.625" style="1" customWidth="1"/>
    <col min="5636" max="5636" width="23.5" style="1" bestFit="1" customWidth="1"/>
    <col min="5637" max="5637" width="22.5" style="1" bestFit="1" customWidth="1"/>
    <col min="5638" max="5638" width="18.625" style="1" bestFit="1" customWidth="1"/>
    <col min="5639" max="5639" width="26.5" style="1" bestFit="1" customWidth="1"/>
    <col min="5640" max="5640" width="16.875" style="1" bestFit="1" customWidth="1"/>
    <col min="5641" max="5641" width="18.125" style="1" customWidth="1"/>
    <col min="5642" max="5646" width="9.125" style="1"/>
    <col min="5647" max="5647" width="23.125" style="1" customWidth="1"/>
    <col min="5648" max="5888" width="9.125" style="1"/>
    <col min="5889" max="5889" width="47.5" style="1" bestFit="1" customWidth="1"/>
    <col min="5890" max="5890" width="9.875" style="1" bestFit="1" customWidth="1"/>
    <col min="5891" max="5891" width="10.625" style="1" customWidth="1"/>
    <col min="5892" max="5892" width="23.5" style="1" bestFit="1" customWidth="1"/>
    <col min="5893" max="5893" width="22.5" style="1" bestFit="1" customWidth="1"/>
    <col min="5894" max="5894" width="18.625" style="1" bestFit="1" customWidth="1"/>
    <col min="5895" max="5895" width="26.5" style="1" bestFit="1" customWidth="1"/>
    <col min="5896" max="5896" width="16.875" style="1" bestFit="1" customWidth="1"/>
    <col min="5897" max="5897" width="18.125" style="1" customWidth="1"/>
    <col min="5898" max="5902" width="9.125" style="1"/>
    <col min="5903" max="5903" width="23.125" style="1" customWidth="1"/>
    <col min="5904" max="6144" width="9.125" style="1"/>
    <col min="6145" max="6145" width="47.5" style="1" bestFit="1" customWidth="1"/>
    <col min="6146" max="6146" width="9.875" style="1" bestFit="1" customWidth="1"/>
    <col min="6147" max="6147" width="10.625" style="1" customWidth="1"/>
    <col min="6148" max="6148" width="23.5" style="1" bestFit="1" customWidth="1"/>
    <col min="6149" max="6149" width="22.5" style="1" bestFit="1" customWidth="1"/>
    <col min="6150" max="6150" width="18.625" style="1" bestFit="1" customWidth="1"/>
    <col min="6151" max="6151" width="26.5" style="1" bestFit="1" customWidth="1"/>
    <col min="6152" max="6152" width="16.875" style="1" bestFit="1" customWidth="1"/>
    <col min="6153" max="6153" width="18.125" style="1" customWidth="1"/>
    <col min="6154" max="6158" width="9.125" style="1"/>
    <col min="6159" max="6159" width="23.125" style="1" customWidth="1"/>
    <col min="6160" max="6400" width="9.125" style="1"/>
    <col min="6401" max="6401" width="47.5" style="1" bestFit="1" customWidth="1"/>
    <col min="6402" max="6402" width="9.875" style="1" bestFit="1" customWidth="1"/>
    <col min="6403" max="6403" width="10.625" style="1" customWidth="1"/>
    <col min="6404" max="6404" width="23.5" style="1" bestFit="1" customWidth="1"/>
    <col min="6405" max="6405" width="22.5" style="1" bestFit="1" customWidth="1"/>
    <col min="6406" max="6406" width="18.625" style="1" bestFit="1" customWidth="1"/>
    <col min="6407" max="6407" width="26.5" style="1" bestFit="1" customWidth="1"/>
    <col min="6408" max="6408" width="16.875" style="1" bestFit="1" customWidth="1"/>
    <col min="6409" max="6409" width="18.125" style="1" customWidth="1"/>
    <col min="6410" max="6414" width="9.125" style="1"/>
    <col min="6415" max="6415" width="23.125" style="1" customWidth="1"/>
    <col min="6416" max="6656" width="9.125" style="1"/>
    <col min="6657" max="6657" width="47.5" style="1" bestFit="1" customWidth="1"/>
    <col min="6658" max="6658" width="9.875" style="1" bestFit="1" customWidth="1"/>
    <col min="6659" max="6659" width="10.625" style="1" customWidth="1"/>
    <col min="6660" max="6660" width="23.5" style="1" bestFit="1" customWidth="1"/>
    <col min="6661" max="6661" width="22.5" style="1" bestFit="1" customWidth="1"/>
    <col min="6662" max="6662" width="18.625" style="1" bestFit="1" customWidth="1"/>
    <col min="6663" max="6663" width="26.5" style="1" bestFit="1" customWidth="1"/>
    <col min="6664" max="6664" width="16.875" style="1" bestFit="1" customWidth="1"/>
    <col min="6665" max="6665" width="18.125" style="1" customWidth="1"/>
    <col min="6666" max="6670" width="9.125" style="1"/>
    <col min="6671" max="6671" width="23.125" style="1" customWidth="1"/>
    <col min="6672" max="6912" width="9.125" style="1"/>
    <col min="6913" max="6913" width="47.5" style="1" bestFit="1" customWidth="1"/>
    <col min="6914" max="6914" width="9.875" style="1" bestFit="1" customWidth="1"/>
    <col min="6915" max="6915" width="10.625" style="1" customWidth="1"/>
    <col min="6916" max="6916" width="23.5" style="1" bestFit="1" customWidth="1"/>
    <col min="6917" max="6917" width="22.5" style="1" bestFit="1" customWidth="1"/>
    <col min="6918" max="6918" width="18.625" style="1" bestFit="1" customWidth="1"/>
    <col min="6919" max="6919" width="26.5" style="1" bestFit="1" customWidth="1"/>
    <col min="6920" max="6920" width="16.875" style="1" bestFit="1" customWidth="1"/>
    <col min="6921" max="6921" width="18.125" style="1" customWidth="1"/>
    <col min="6922" max="6926" width="9.125" style="1"/>
    <col min="6927" max="6927" width="23.125" style="1" customWidth="1"/>
    <col min="6928" max="7168" width="9.125" style="1"/>
    <col min="7169" max="7169" width="47.5" style="1" bestFit="1" customWidth="1"/>
    <col min="7170" max="7170" width="9.875" style="1" bestFit="1" customWidth="1"/>
    <col min="7171" max="7171" width="10.625" style="1" customWidth="1"/>
    <col min="7172" max="7172" width="23.5" style="1" bestFit="1" customWidth="1"/>
    <col min="7173" max="7173" width="22.5" style="1" bestFit="1" customWidth="1"/>
    <col min="7174" max="7174" width="18.625" style="1" bestFit="1" customWidth="1"/>
    <col min="7175" max="7175" width="26.5" style="1" bestFit="1" customWidth="1"/>
    <col min="7176" max="7176" width="16.875" style="1" bestFit="1" customWidth="1"/>
    <col min="7177" max="7177" width="18.125" style="1" customWidth="1"/>
    <col min="7178" max="7182" width="9.125" style="1"/>
    <col min="7183" max="7183" width="23.125" style="1" customWidth="1"/>
    <col min="7184" max="7424" width="9.125" style="1"/>
    <col min="7425" max="7425" width="47.5" style="1" bestFit="1" customWidth="1"/>
    <col min="7426" max="7426" width="9.875" style="1" bestFit="1" customWidth="1"/>
    <col min="7427" max="7427" width="10.625" style="1" customWidth="1"/>
    <col min="7428" max="7428" width="23.5" style="1" bestFit="1" customWidth="1"/>
    <col min="7429" max="7429" width="22.5" style="1" bestFit="1" customWidth="1"/>
    <col min="7430" max="7430" width="18.625" style="1" bestFit="1" customWidth="1"/>
    <col min="7431" max="7431" width="26.5" style="1" bestFit="1" customWidth="1"/>
    <col min="7432" max="7432" width="16.875" style="1" bestFit="1" customWidth="1"/>
    <col min="7433" max="7433" width="18.125" style="1" customWidth="1"/>
    <col min="7434" max="7438" width="9.125" style="1"/>
    <col min="7439" max="7439" width="23.125" style="1" customWidth="1"/>
    <col min="7440" max="7680" width="9.125" style="1"/>
    <col min="7681" max="7681" width="47.5" style="1" bestFit="1" customWidth="1"/>
    <col min="7682" max="7682" width="9.875" style="1" bestFit="1" customWidth="1"/>
    <col min="7683" max="7683" width="10.625" style="1" customWidth="1"/>
    <col min="7684" max="7684" width="23.5" style="1" bestFit="1" customWidth="1"/>
    <col min="7685" max="7685" width="22.5" style="1" bestFit="1" customWidth="1"/>
    <col min="7686" max="7686" width="18.625" style="1" bestFit="1" customWidth="1"/>
    <col min="7687" max="7687" width="26.5" style="1" bestFit="1" customWidth="1"/>
    <col min="7688" max="7688" width="16.875" style="1" bestFit="1" customWidth="1"/>
    <col min="7689" max="7689" width="18.125" style="1" customWidth="1"/>
    <col min="7690" max="7694" width="9.125" style="1"/>
    <col min="7695" max="7695" width="23.125" style="1" customWidth="1"/>
    <col min="7696" max="7936" width="9.125" style="1"/>
    <col min="7937" max="7937" width="47.5" style="1" bestFit="1" customWidth="1"/>
    <col min="7938" max="7938" width="9.875" style="1" bestFit="1" customWidth="1"/>
    <col min="7939" max="7939" width="10.625" style="1" customWidth="1"/>
    <col min="7940" max="7940" width="23.5" style="1" bestFit="1" customWidth="1"/>
    <col min="7941" max="7941" width="22.5" style="1" bestFit="1" customWidth="1"/>
    <col min="7942" max="7942" width="18.625" style="1" bestFit="1" customWidth="1"/>
    <col min="7943" max="7943" width="26.5" style="1" bestFit="1" customWidth="1"/>
    <col min="7944" max="7944" width="16.875" style="1" bestFit="1" customWidth="1"/>
    <col min="7945" max="7945" width="18.125" style="1" customWidth="1"/>
    <col min="7946" max="7950" width="9.125" style="1"/>
    <col min="7951" max="7951" width="23.125" style="1" customWidth="1"/>
    <col min="7952" max="8192" width="9.125" style="1"/>
    <col min="8193" max="8193" width="47.5" style="1" bestFit="1" customWidth="1"/>
    <col min="8194" max="8194" width="9.875" style="1" bestFit="1" customWidth="1"/>
    <col min="8195" max="8195" width="10.625" style="1" customWidth="1"/>
    <col min="8196" max="8196" width="23.5" style="1" bestFit="1" customWidth="1"/>
    <col min="8197" max="8197" width="22.5" style="1" bestFit="1" customWidth="1"/>
    <col min="8198" max="8198" width="18.625" style="1" bestFit="1" customWidth="1"/>
    <col min="8199" max="8199" width="26.5" style="1" bestFit="1" customWidth="1"/>
    <col min="8200" max="8200" width="16.875" style="1" bestFit="1" customWidth="1"/>
    <col min="8201" max="8201" width="18.125" style="1" customWidth="1"/>
    <col min="8202" max="8206" width="9.125" style="1"/>
    <col min="8207" max="8207" width="23.125" style="1" customWidth="1"/>
    <col min="8208" max="8448" width="9.125" style="1"/>
    <col min="8449" max="8449" width="47.5" style="1" bestFit="1" customWidth="1"/>
    <col min="8450" max="8450" width="9.875" style="1" bestFit="1" customWidth="1"/>
    <col min="8451" max="8451" width="10.625" style="1" customWidth="1"/>
    <col min="8452" max="8452" width="23.5" style="1" bestFit="1" customWidth="1"/>
    <col min="8453" max="8453" width="22.5" style="1" bestFit="1" customWidth="1"/>
    <col min="8454" max="8454" width="18.625" style="1" bestFit="1" customWidth="1"/>
    <col min="8455" max="8455" width="26.5" style="1" bestFit="1" customWidth="1"/>
    <col min="8456" max="8456" width="16.875" style="1" bestFit="1" customWidth="1"/>
    <col min="8457" max="8457" width="18.125" style="1" customWidth="1"/>
    <col min="8458" max="8462" width="9.125" style="1"/>
    <col min="8463" max="8463" width="23.125" style="1" customWidth="1"/>
    <col min="8464" max="8704" width="9.125" style="1"/>
    <col min="8705" max="8705" width="47.5" style="1" bestFit="1" customWidth="1"/>
    <col min="8706" max="8706" width="9.875" style="1" bestFit="1" customWidth="1"/>
    <col min="8707" max="8707" width="10.625" style="1" customWidth="1"/>
    <col min="8708" max="8708" width="23.5" style="1" bestFit="1" customWidth="1"/>
    <col min="8709" max="8709" width="22.5" style="1" bestFit="1" customWidth="1"/>
    <col min="8710" max="8710" width="18.625" style="1" bestFit="1" customWidth="1"/>
    <col min="8711" max="8711" width="26.5" style="1" bestFit="1" customWidth="1"/>
    <col min="8712" max="8712" width="16.875" style="1" bestFit="1" customWidth="1"/>
    <col min="8713" max="8713" width="18.125" style="1" customWidth="1"/>
    <col min="8714" max="8718" width="9.125" style="1"/>
    <col min="8719" max="8719" width="23.125" style="1" customWidth="1"/>
    <col min="8720" max="8960" width="9.125" style="1"/>
    <col min="8961" max="8961" width="47.5" style="1" bestFit="1" customWidth="1"/>
    <col min="8962" max="8962" width="9.875" style="1" bestFit="1" customWidth="1"/>
    <col min="8963" max="8963" width="10.625" style="1" customWidth="1"/>
    <col min="8964" max="8964" width="23.5" style="1" bestFit="1" customWidth="1"/>
    <col min="8965" max="8965" width="22.5" style="1" bestFit="1" customWidth="1"/>
    <col min="8966" max="8966" width="18.625" style="1" bestFit="1" customWidth="1"/>
    <col min="8967" max="8967" width="26.5" style="1" bestFit="1" customWidth="1"/>
    <col min="8968" max="8968" width="16.875" style="1" bestFit="1" customWidth="1"/>
    <col min="8969" max="8969" width="18.125" style="1" customWidth="1"/>
    <col min="8970" max="8974" width="9.125" style="1"/>
    <col min="8975" max="8975" width="23.125" style="1" customWidth="1"/>
    <col min="8976" max="9216" width="9.125" style="1"/>
    <col min="9217" max="9217" width="47.5" style="1" bestFit="1" customWidth="1"/>
    <col min="9218" max="9218" width="9.875" style="1" bestFit="1" customWidth="1"/>
    <col min="9219" max="9219" width="10.625" style="1" customWidth="1"/>
    <col min="9220" max="9220" width="23.5" style="1" bestFit="1" customWidth="1"/>
    <col min="9221" max="9221" width="22.5" style="1" bestFit="1" customWidth="1"/>
    <col min="9222" max="9222" width="18.625" style="1" bestFit="1" customWidth="1"/>
    <col min="9223" max="9223" width="26.5" style="1" bestFit="1" customWidth="1"/>
    <col min="9224" max="9224" width="16.875" style="1" bestFit="1" customWidth="1"/>
    <col min="9225" max="9225" width="18.125" style="1" customWidth="1"/>
    <col min="9226" max="9230" width="9.125" style="1"/>
    <col min="9231" max="9231" width="23.125" style="1" customWidth="1"/>
    <col min="9232" max="9472" width="9.125" style="1"/>
    <col min="9473" max="9473" width="47.5" style="1" bestFit="1" customWidth="1"/>
    <col min="9474" max="9474" width="9.875" style="1" bestFit="1" customWidth="1"/>
    <col min="9475" max="9475" width="10.625" style="1" customWidth="1"/>
    <col min="9476" max="9476" width="23.5" style="1" bestFit="1" customWidth="1"/>
    <col min="9477" max="9477" width="22.5" style="1" bestFit="1" customWidth="1"/>
    <col min="9478" max="9478" width="18.625" style="1" bestFit="1" customWidth="1"/>
    <col min="9479" max="9479" width="26.5" style="1" bestFit="1" customWidth="1"/>
    <col min="9480" max="9480" width="16.875" style="1" bestFit="1" customWidth="1"/>
    <col min="9481" max="9481" width="18.125" style="1" customWidth="1"/>
    <col min="9482" max="9486" width="9.125" style="1"/>
    <col min="9487" max="9487" width="23.125" style="1" customWidth="1"/>
    <col min="9488" max="9728" width="9.125" style="1"/>
    <col min="9729" max="9729" width="47.5" style="1" bestFit="1" customWidth="1"/>
    <col min="9730" max="9730" width="9.875" style="1" bestFit="1" customWidth="1"/>
    <col min="9731" max="9731" width="10.625" style="1" customWidth="1"/>
    <col min="9732" max="9732" width="23.5" style="1" bestFit="1" customWidth="1"/>
    <col min="9733" max="9733" width="22.5" style="1" bestFit="1" customWidth="1"/>
    <col min="9734" max="9734" width="18.625" style="1" bestFit="1" customWidth="1"/>
    <col min="9735" max="9735" width="26.5" style="1" bestFit="1" customWidth="1"/>
    <col min="9736" max="9736" width="16.875" style="1" bestFit="1" customWidth="1"/>
    <col min="9737" max="9737" width="18.125" style="1" customWidth="1"/>
    <col min="9738" max="9742" width="9.125" style="1"/>
    <col min="9743" max="9743" width="23.125" style="1" customWidth="1"/>
    <col min="9744" max="9984" width="9.125" style="1"/>
    <col min="9985" max="9985" width="47.5" style="1" bestFit="1" customWidth="1"/>
    <col min="9986" max="9986" width="9.875" style="1" bestFit="1" customWidth="1"/>
    <col min="9987" max="9987" width="10.625" style="1" customWidth="1"/>
    <col min="9988" max="9988" width="23.5" style="1" bestFit="1" customWidth="1"/>
    <col min="9989" max="9989" width="22.5" style="1" bestFit="1" customWidth="1"/>
    <col min="9990" max="9990" width="18.625" style="1" bestFit="1" customWidth="1"/>
    <col min="9991" max="9991" width="26.5" style="1" bestFit="1" customWidth="1"/>
    <col min="9992" max="9992" width="16.875" style="1" bestFit="1" customWidth="1"/>
    <col min="9993" max="9993" width="18.125" style="1" customWidth="1"/>
    <col min="9994" max="9998" width="9.125" style="1"/>
    <col min="9999" max="9999" width="23.125" style="1" customWidth="1"/>
    <col min="10000" max="10240" width="9.125" style="1"/>
    <col min="10241" max="10241" width="47.5" style="1" bestFit="1" customWidth="1"/>
    <col min="10242" max="10242" width="9.875" style="1" bestFit="1" customWidth="1"/>
    <col min="10243" max="10243" width="10.625" style="1" customWidth="1"/>
    <col min="10244" max="10244" width="23.5" style="1" bestFit="1" customWidth="1"/>
    <col min="10245" max="10245" width="22.5" style="1" bestFit="1" customWidth="1"/>
    <col min="10246" max="10246" width="18.625" style="1" bestFit="1" customWidth="1"/>
    <col min="10247" max="10247" width="26.5" style="1" bestFit="1" customWidth="1"/>
    <col min="10248" max="10248" width="16.875" style="1" bestFit="1" customWidth="1"/>
    <col min="10249" max="10249" width="18.125" style="1" customWidth="1"/>
    <col min="10250" max="10254" width="9.125" style="1"/>
    <col min="10255" max="10255" width="23.125" style="1" customWidth="1"/>
    <col min="10256" max="10496" width="9.125" style="1"/>
    <col min="10497" max="10497" width="47.5" style="1" bestFit="1" customWidth="1"/>
    <col min="10498" max="10498" width="9.875" style="1" bestFit="1" customWidth="1"/>
    <col min="10499" max="10499" width="10.625" style="1" customWidth="1"/>
    <col min="10500" max="10500" width="23.5" style="1" bestFit="1" customWidth="1"/>
    <col min="10501" max="10501" width="22.5" style="1" bestFit="1" customWidth="1"/>
    <col min="10502" max="10502" width="18.625" style="1" bestFit="1" customWidth="1"/>
    <col min="10503" max="10503" width="26.5" style="1" bestFit="1" customWidth="1"/>
    <col min="10504" max="10504" width="16.875" style="1" bestFit="1" customWidth="1"/>
    <col min="10505" max="10505" width="18.125" style="1" customWidth="1"/>
    <col min="10506" max="10510" width="9.125" style="1"/>
    <col min="10511" max="10511" width="23.125" style="1" customWidth="1"/>
    <col min="10512" max="10752" width="9.125" style="1"/>
    <col min="10753" max="10753" width="47.5" style="1" bestFit="1" customWidth="1"/>
    <col min="10754" max="10754" width="9.875" style="1" bestFit="1" customWidth="1"/>
    <col min="10755" max="10755" width="10.625" style="1" customWidth="1"/>
    <col min="10756" max="10756" width="23.5" style="1" bestFit="1" customWidth="1"/>
    <col min="10757" max="10757" width="22.5" style="1" bestFit="1" customWidth="1"/>
    <col min="10758" max="10758" width="18.625" style="1" bestFit="1" customWidth="1"/>
    <col min="10759" max="10759" width="26.5" style="1" bestFit="1" customWidth="1"/>
    <col min="10760" max="10760" width="16.875" style="1" bestFit="1" customWidth="1"/>
    <col min="10761" max="10761" width="18.125" style="1" customWidth="1"/>
    <col min="10762" max="10766" width="9.125" style="1"/>
    <col min="10767" max="10767" width="23.125" style="1" customWidth="1"/>
    <col min="10768" max="11008" width="9.125" style="1"/>
    <col min="11009" max="11009" width="47.5" style="1" bestFit="1" customWidth="1"/>
    <col min="11010" max="11010" width="9.875" style="1" bestFit="1" customWidth="1"/>
    <col min="11011" max="11011" width="10.625" style="1" customWidth="1"/>
    <col min="11012" max="11012" width="23.5" style="1" bestFit="1" customWidth="1"/>
    <col min="11013" max="11013" width="22.5" style="1" bestFit="1" customWidth="1"/>
    <col min="11014" max="11014" width="18.625" style="1" bestFit="1" customWidth="1"/>
    <col min="11015" max="11015" width="26.5" style="1" bestFit="1" customWidth="1"/>
    <col min="11016" max="11016" width="16.875" style="1" bestFit="1" customWidth="1"/>
    <col min="11017" max="11017" width="18.125" style="1" customWidth="1"/>
    <col min="11018" max="11022" width="9.125" style="1"/>
    <col min="11023" max="11023" width="23.125" style="1" customWidth="1"/>
    <col min="11024" max="11264" width="9.125" style="1"/>
    <col min="11265" max="11265" width="47.5" style="1" bestFit="1" customWidth="1"/>
    <col min="11266" max="11266" width="9.875" style="1" bestFit="1" customWidth="1"/>
    <col min="11267" max="11267" width="10.625" style="1" customWidth="1"/>
    <col min="11268" max="11268" width="23.5" style="1" bestFit="1" customWidth="1"/>
    <col min="11269" max="11269" width="22.5" style="1" bestFit="1" customWidth="1"/>
    <col min="11270" max="11270" width="18.625" style="1" bestFit="1" customWidth="1"/>
    <col min="11271" max="11271" width="26.5" style="1" bestFit="1" customWidth="1"/>
    <col min="11272" max="11272" width="16.875" style="1" bestFit="1" customWidth="1"/>
    <col min="11273" max="11273" width="18.125" style="1" customWidth="1"/>
    <col min="11274" max="11278" width="9.125" style="1"/>
    <col min="11279" max="11279" width="23.125" style="1" customWidth="1"/>
    <col min="11280" max="11520" width="9.125" style="1"/>
    <col min="11521" max="11521" width="47.5" style="1" bestFit="1" customWidth="1"/>
    <col min="11522" max="11522" width="9.875" style="1" bestFit="1" customWidth="1"/>
    <col min="11523" max="11523" width="10.625" style="1" customWidth="1"/>
    <col min="11524" max="11524" width="23.5" style="1" bestFit="1" customWidth="1"/>
    <col min="11525" max="11525" width="22.5" style="1" bestFit="1" customWidth="1"/>
    <col min="11526" max="11526" width="18.625" style="1" bestFit="1" customWidth="1"/>
    <col min="11527" max="11527" width="26.5" style="1" bestFit="1" customWidth="1"/>
    <col min="11528" max="11528" width="16.875" style="1" bestFit="1" customWidth="1"/>
    <col min="11529" max="11529" width="18.125" style="1" customWidth="1"/>
    <col min="11530" max="11534" width="9.125" style="1"/>
    <col min="11535" max="11535" width="23.125" style="1" customWidth="1"/>
    <col min="11536" max="11776" width="9.125" style="1"/>
    <col min="11777" max="11777" width="47.5" style="1" bestFit="1" customWidth="1"/>
    <col min="11778" max="11778" width="9.875" style="1" bestFit="1" customWidth="1"/>
    <col min="11779" max="11779" width="10.625" style="1" customWidth="1"/>
    <col min="11780" max="11780" width="23.5" style="1" bestFit="1" customWidth="1"/>
    <col min="11781" max="11781" width="22.5" style="1" bestFit="1" customWidth="1"/>
    <col min="11782" max="11782" width="18.625" style="1" bestFit="1" customWidth="1"/>
    <col min="11783" max="11783" width="26.5" style="1" bestFit="1" customWidth="1"/>
    <col min="11784" max="11784" width="16.875" style="1" bestFit="1" customWidth="1"/>
    <col min="11785" max="11785" width="18.125" style="1" customWidth="1"/>
    <col min="11786" max="11790" width="9.125" style="1"/>
    <col min="11791" max="11791" width="23.125" style="1" customWidth="1"/>
    <col min="11792" max="12032" width="9.125" style="1"/>
    <col min="12033" max="12033" width="47.5" style="1" bestFit="1" customWidth="1"/>
    <col min="12034" max="12034" width="9.875" style="1" bestFit="1" customWidth="1"/>
    <col min="12035" max="12035" width="10.625" style="1" customWidth="1"/>
    <col min="12036" max="12036" width="23.5" style="1" bestFit="1" customWidth="1"/>
    <col min="12037" max="12037" width="22.5" style="1" bestFit="1" customWidth="1"/>
    <col min="12038" max="12038" width="18.625" style="1" bestFit="1" customWidth="1"/>
    <col min="12039" max="12039" width="26.5" style="1" bestFit="1" customWidth="1"/>
    <col min="12040" max="12040" width="16.875" style="1" bestFit="1" customWidth="1"/>
    <col min="12041" max="12041" width="18.125" style="1" customWidth="1"/>
    <col min="12042" max="12046" width="9.125" style="1"/>
    <col min="12047" max="12047" width="23.125" style="1" customWidth="1"/>
    <col min="12048" max="12288" width="9.125" style="1"/>
    <col min="12289" max="12289" width="47.5" style="1" bestFit="1" customWidth="1"/>
    <col min="12290" max="12290" width="9.875" style="1" bestFit="1" customWidth="1"/>
    <col min="12291" max="12291" width="10.625" style="1" customWidth="1"/>
    <col min="12292" max="12292" width="23.5" style="1" bestFit="1" customWidth="1"/>
    <col min="12293" max="12293" width="22.5" style="1" bestFit="1" customWidth="1"/>
    <col min="12294" max="12294" width="18.625" style="1" bestFit="1" customWidth="1"/>
    <col min="12295" max="12295" width="26.5" style="1" bestFit="1" customWidth="1"/>
    <col min="12296" max="12296" width="16.875" style="1" bestFit="1" customWidth="1"/>
    <col min="12297" max="12297" width="18.125" style="1" customWidth="1"/>
    <col min="12298" max="12302" width="9.125" style="1"/>
    <col min="12303" max="12303" width="23.125" style="1" customWidth="1"/>
    <col min="12304" max="12544" width="9.125" style="1"/>
    <col min="12545" max="12545" width="47.5" style="1" bestFit="1" customWidth="1"/>
    <col min="12546" max="12546" width="9.875" style="1" bestFit="1" customWidth="1"/>
    <col min="12547" max="12547" width="10.625" style="1" customWidth="1"/>
    <col min="12548" max="12548" width="23.5" style="1" bestFit="1" customWidth="1"/>
    <col min="12549" max="12549" width="22.5" style="1" bestFit="1" customWidth="1"/>
    <col min="12550" max="12550" width="18.625" style="1" bestFit="1" customWidth="1"/>
    <col min="12551" max="12551" width="26.5" style="1" bestFit="1" customWidth="1"/>
    <col min="12552" max="12552" width="16.875" style="1" bestFit="1" customWidth="1"/>
    <col min="12553" max="12553" width="18.125" style="1" customWidth="1"/>
    <col min="12554" max="12558" width="9.125" style="1"/>
    <col min="12559" max="12559" width="23.125" style="1" customWidth="1"/>
    <col min="12560" max="12800" width="9.125" style="1"/>
    <col min="12801" max="12801" width="47.5" style="1" bestFit="1" customWidth="1"/>
    <col min="12802" max="12802" width="9.875" style="1" bestFit="1" customWidth="1"/>
    <col min="12803" max="12803" width="10.625" style="1" customWidth="1"/>
    <col min="12804" max="12804" width="23.5" style="1" bestFit="1" customWidth="1"/>
    <col min="12805" max="12805" width="22.5" style="1" bestFit="1" customWidth="1"/>
    <col min="12806" max="12806" width="18.625" style="1" bestFit="1" customWidth="1"/>
    <col min="12807" max="12807" width="26.5" style="1" bestFit="1" customWidth="1"/>
    <col min="12808" max="12808" width="16.875" style="1" bestFit="1" customWidth="1"/>
    <col min="12809" max="12809" width="18.125" style="1" customWidth="1"/>
    <col min="12810" max="12814" width="9.125" style="1"/>
    <col min="12815" max="12815" width="23.125" style="1" customWidth="1"/>
    <col min="12816" max="13056" width="9.125" style="1"/>
    <col min="13057" max="13057" width="47.5" style="1" bestFit="1" customWidth="1"/>
    <col min="13058" max="13058" width="9.875" style="1" bestFit="1" customWidth="1"/>
    <col min="13059" max="13059" width="10.625" style="1" customWidth="1"/>
    <col min="13060" max="13060" width="23.5" style="1" bestFit="1" customWidth="1"/>
    <col min="13061" max="13061" width="22.5" style="1" bestFit="1" customWidth="1"/>
    <col min="13062" max="13062" width="18.625" style="1" bestFit="1" customWidth="1"/>
    <col min="13063" max="13063" width="26.5" style="1" bestFit="1" customWidth="1"/>
    <col min="13064" max="13064" width="16.875" style="1" bestFit="1" customWidth="1"/>
    <col min="13065" max="13065" width="18.125" style="1" customWidth="1"/>
    <col min="13066" max="13070" width="9.125" style="1"/>
    <col min="13071" max="13071" width="23.125" style="1" customWidth="1"/>
    <col min="13072" max="13312" width="9.125" style="1"/>
    <col min="13313" max="13313" width="47.5" style="1" bestFit="1" customWidth="1"/>
    <col min="13314" max="13314" width="9.875" style="1" bestFit="1" customWidth="1"/>
    <col min="13315" max="13315" width="10.625" style="1" customWidth="1"/>
    <col min="13316" max="13316" width="23.5" style="1" bestFit="1" customWidth="1"/>
    <col min="13317" max="13317" width="22.5" style="1" bestFit="1" customWidth="1"/>
    <col min="13318" max="13318" width="18.625" style="1" bestFit="1" customWidth="1"/>
    <col min="13319" max="13319" width="26.5" style="1" bestFit="1" customWidth="1"/>
    <col min="13320" max="13320" width="16.875" style="1" bestFit="1" customWidth="1"/>
    <col min="13321" max="13321" width="18.125" style="1" customWidth="1"/>
    <col min="13322" max="13326" width="9.125" style="1"/>
    <col min="13327" max="13327" width="23.125" style="1" customWidth="1"/>
    <col min="13328" max="13568" width="9.125" style="1"/>
    <col min="13569" max="13569" width="47.5" style="1" bestFit="1" customWidth="1"/>
    <col min="13570" max="13570" width="9.875" style="1" bestFit="1" customWidth="1"/>
    <col min="13571" max="13571" width="10.625" style="1" customWidth="1"/>
    <col min="13572" max="13572" width="23.5" style="1" bestFit="1" customWidth="1"/>
    <col min="13573" max="13573" width="22.5" style="1" bestFit="1" customWidth="1"/>
    <col min="13574" max="13574" width="18.625" style="1" bestFit="1" customWidth="1"/>
    <col min="13575" max="13575" width="26.5" style="1" bestFit="1" customWidth="1"/>
    <col min="13576" max="13576" width="16.875" style="1" bestFit="1" customWidth="1"/>
    <col min="13577" max="13577" width="18.125" style="1" customWidth="1"/>
    <col min="13578" max="13582" width="9.125" style="1"/>
    <col min="13583" max="13583" width="23.125" style="1" customWidth="1"/>
    <col min="13584" max="13824" width="9.125" style="1"/>
    <col min="13825" max="13825" width="47.5" style="1" bestFit="1" customWidth="1"/>
    <col min="13826" max="13826" width="9.875" style="1" bestFit="1" customWidth="1"/>
    <col min="13827" max="13827" width="10.625" style="1" customWidth="1"/>
    <col min="13828" max="13828" width="23.5" style="1" bestFit="1" customWidth="1"/>
    <col min="13829" max="13829" width="22.5" style="1" bestFit="1" customWidth="1"/>
    <col min="13830" max="13830" width="18.625" style="1" bestFit="1" customWidth="1"/>
    <col min="13831" max="13831" width="26.5" style="1" bestFit="1" customWidth="1"/>
    <col min="13832" max="13832" width="16.875" style="1" bestFit="1" customWidth="1"/>
    <col min="13833" max="13833" width="18.125" style="1" customWidth="1"/>
    <col min="13834" max="13838" width="9.125" style="1"/>
    <col min="13839" max="13839" width="23.125" style="1" customWidth="1"/>
    <col min="13840" max="14080" width="9.125" style="1"/>
    <col min="14081" max="14081" width="47.5" style="1" bestFit="1" customWidth="1"/>
    <col min="14082" max="14082" width="9.875" style="1" bestFit="1" customWidth="1"/>
    <col min="14083" max="14083" width="10.625" style="1" customWidth="1"/>
    <col min="14084" max="14084" width="23.5" style="1" bestFit="1" customWidth="1"/>
    <col min="14085" max="14085" width="22.5" style="1" bestFit="1" customWidth="1"/>
    <col min="14086" max="14086" width="18.625" style="1" bestFit="1" customWidth="1"/>
    <col min="14087" max="14087" width="26.5" style="1" bestFit="1" customWidth="1"/>
    <col min="14088" max="14088" width="16.875" style="1" bestFit="1" customWidth="1"/>
    <col min="14089" max="14089" width="18.125" style="1" customWidth="1"/>
    <col min="14090" max="14094" width="9.125" style="1"/>
    <col min="14095" max="14095" width="23.125" style="1" customWidth="1"/>
    <col min="14096" max="14336" width="9.125" style="1"/>
    <col min="14337" max="14337" width="47.5" style="1" bestFit="1" customWidth="1"/>
    <col min="14338" max="14338" width="9.875" style="1" bestFit="1" customWidth="1"/>
    <col min="14339" max="14339" width="10.625" style="1" customWidth="1"/>
    <col min="14340" max="14340" width="23.5" style="1" bestFit="1" customWidth="1"/>
    <col min="14341" max="14341" width="22.5" style="1" bestFit="1" customWidth="1"/>
    <col min="14342" max="14342" width="18.625" style="1" bestFit="1" customWidth="1"/>
    <col min="14343" max="14343" width="26.5" style="1" bestFit="1" customWidth="1"/>
    <col min="14344" max="14344" width="16.875" style="1" bestFit="1" customWidth="1"/>
    <col min="14345" max="14345" width="18.125" style="1" customWidth="1"/>
    <col min="14346" max="14350" width="9.125" style="1"/>
    <col min="14351" max="14351" width="23.125" style="1" customWidth="1"/>
    <col min="14352" max="14592" width="9.125" style="1"/>
    <col min="14593" max="14593" width="47.5" style="1" bestFit="1" customWidth="1"/>
    <col min="14594" max="14594" width="9.875" style="1" bestFit="1" customWidth="1"/>
    <col min="14595" max="14595" width="10.625" style="1" customWidth="1"/>
    <col min="14596" max="14596" width="23.5" style="1" bestFit="1" customWidth="1"/>
    <col min="14597" max="14597" width="22.5" style="1" bestFit="1" customWidth="1"/>
    <col min="14598" max="14598" width="18.625" style="1" bestFit="1" customWidth="1"/>
    <col min="14599" max="14599" width="26.5" style="1" bestFit="1" customWidth="1"/>
    <col min="14600" max="14600" width="16.875" style="1" bestFit="1" customWidth="1"/>
    <col min="14601" max="14601" width="18.125" style="1" customWidth="1"/>
    <col min="14602" max="14606" width="9.125" style="1"/>
    <col min="14607" max="14607" width="23.125" style="1" customWidth="1"/>
    <col min="14608" max="14848" width="9.125" style="1"/>
    <col min="14849" max="14849" width="47.5" style="1" bestFit="1" customWidth="1"/>
    <col min="14850" max="14850" width="9.875" style="1" bestFit="1" customWidth="1"/>
    <col min="14851" max="14851" width="10.625" style="1" customWidth="1"/>
    <col min="14852" max="14852" width="23.5" style="1" bestFit="1" customWidth="1"/>
    <col min="14853" max="14853" width="22.5" style="1" bestFit="1" customWidth="1"/>
    <col min="14854" max="14854" width="18.625" style="1" bestFit="1" customWidth="1"/>
    <col min="14855" max="14855" width="26.5" style="1" bestFit="1" customWidth="1"/>
    <col min="14856" max="14856" width="16.875" style="1" bestFit="1" customWidth="1"/>
    <col min="14857" max="14857" width="18.125" style="1" customWidth="1"/>
    <col min="14858" max="14862" width="9.125" style="1"/>
    <col min="14863" max="14863" width="23.125" style="1" customWidth="1"/>
    <col min="14864" max="15104" width="9.125" style="1"/>
    <col min="15105" max="15105" width="47.5" style="1" bestFit="1" customWidth="1"/>
    <col min="15106" max="15106" width="9.875" style="1" bestFit="1" customWidth="1"/>
    <col min="15107" max="15107" width="10.625" style="1" customWidth="1"/>
    <col min="15108" max="15108" width="23.5" style="1" bestFit="1" customWidth="1"/>
    <col min="15109" max="15109" width="22.5" style="1" bestFit="1" customWidth="1"/>
    <col min="15110" max="15110" width="18.625" style="1" bestFit="1" customWidth="1"/>
    <col min="15111" max="15111" width="26.5" style="1" bestFit="1" customWidth="1"/>
    <col min="15112" max="15112" width="16.875" style="1" bestFit="1" customWidth="1"/>
    <col min="15113" max="15113" width="18.125" style="1" customWidth="1"/>
    <col min="15114" max="15118" width="9.125" style="1"/>
    <col min="15119" max="15119" width="23.125" style="1" customWidth="1"/>
    <col min="15120" max="15360" width="9.125" style="1"/>
    <col min="15361" max="15361" width="47.5" style="1" bestFit="1" customWidth="1"/>
    <col min="15362" max="15362" width="9.875" style="1" bestFit="1" customWidth="1"/>
    <col min="15363" max="15363" width="10.625" style="1" customWidth="1"/>
    <col min="15364" max="15364" width="23.5" style="1" bestFit="1" customWidth="1"/>
    <col min="15365" max="15365" width="22.5" style="1" bestFit="1" customWidth="1"/>
    <col min="15366" max="15366" width="18.625" style="1" bestFit="1" customWidth="1"/>
    <col min="15367" max="15367" width="26.5" style="1" bestFit="1" customWidth="1"/>
    <col min="15368" max="15368" width="16.875" style="1" bestFit="1" customWidth="1"/>
    <col min="15369" max="15369" width="18.125" style="1" customWidth="1"/>
    <col min="15370" max="15374" width="9.125" style="1"/>
    <col min="15375" max="15375" width="23.125" style="1" customWidth="1"/>
    <col min="15376" max="15616" width="9.125" style="1"/>
    <col min="15617" max="15617" width="47.5" style="1" bestFit="1" customWidth="1"/>
    <col min="15618" max="15618" width="9.875" style="1" bestFit="1" customWidth="1"/>
    <col min="15619" max="15619" width="10.625" style="1" customWidth="1"/>
    <col min="15620" max="15620" width="23.5" style="1" bestFit="1" customWidth="1"/>
    <col min="15621" max="15621" width="22.5" style="1" bestFit="1" customWidth="1"/>
    <col min="15622" max="15622" width="18.625" style="1" bestFit="1" customWidth="1"/>
    <col min="15623" max="15623" width="26.5" style="1" bestFit="1" customWidth="1"/>
    <col min="15624" max="15624" width="16.875" style="1" bestFit="1" customWidth="1"/>
    <col min="15625" max="15625" width="18.125" style="1" customWidth="1"/>
    <col min="15626" max="15630" width="9.125" style="1"/>
    <col min="15631" max="15631" width="23.125" style="1" customWidth="1"/>
    <col min="15632" max="15872" width="9.125" style="1"/>
    <col min="15873" max="15873" width="47.5" style="1" bestFit="1" customWidth="1"/>
    <col min="15874" max="15874" width="9.875" style="1" bestFit="1" customWidth="1"/>
    <col min="15875" max="15875" width="10.625" style="1" customWidth="1"/>
    <col min="15876" max="15876" width="23.5" style="1" bestFit="1" customWidth="1"/>
    <col min="15877" max="15877" width="22.5" style="1" bestFit="1" customWidth="1"/>
    <col min="15878" max="15878" width="18.625" style="1" bestFit="1" customWidth="1"/>
    <col min="15879" max="15879" width="26.5" style="1" bestFit="1" customWidth="1"/>
    <col min="15880" max="15880" width="16.875" style="1" bestFit="1" customWidth="1"/>
    <col min="15881" max="15881" width="18.125" style="1" customWidth="1"/>
    <col min="15882" max="15886" width="9.125" style="1"/>
    <col min="15887" max="15887" width="23.125" style="1" customWidth="1"/>
    <col min="15888" max="16128" width="9.125" style="1"/>
    <col min="16129" max="16129" width="47.5" style="1" bestFit="1" customWidth="1"/>
    <col min="16130" max="16130" width="9.875" style="1" bestFit="1" customWidth="1"/>
    <col min="16131" max="16131" width="10.625" style="1" customWidth="1"/>
    <col min="16132" max="16132" width="23.5" style="1" bestFit="1" customWidth="1"/>
    <col min="16133" max="16133" width="22.5" style="1" bestFit="1" customWidth="1"/>
    <col min="16134" max="16134" width="18.625" style="1" bestFit="1" customWidth="1"/>
    <col min="16135" max="16135" width="26.5" style="1" bestFit="1" customWidth="1"/>
    <col min="16136" max="16136" width="16.875" style="1" bestFit="1" customWidth="1"/>
    <col min="16137" max="16137" width="18.125" style="1" customWidth="1"/>
    <col min="16138" max="16142" width="9.125" style="1"/>
    <col min="16143" max="16143" width="23.125" style="1" customWidth="1"/>
    <col min="16144" max="16384" width="9.125" style="1"/>
  </cols>
  <sheetData>
    <row r="1" spans="1:15" x14ac:dyDescent="0.25">
      <c r="A1" s="107" t="s">
        <v>0</v>
      </c>
      <c r="B1" s="109" t="s">
        <v>1</v>
      </c>
      <c r="C1" s="111">
        <f>'Таблица для заполнения'!D3</f>
        <v>0</v>
      </c>
    </row>
    <row r="2" spans="1:15" ht="29.25" customHeight="1" thickBot="1" x14ac:dyDescent="0.3">
      <c r="A2" s="108"/>
      <c r="B2" s="110"/>
      <c r="C2" s="112"/>
    </row>
    <row r="3" spans="1:15" x14ac:dyDescent="0.25">
      <c r="A3" s="2" t="s">
        <v>2</v>
      </c>
      <c r="B3" s="3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  <c r="J3" s="113" t="s">
        <v>11</v>
      </c>
      <c r="K3" s="113"/>
    </row>
    <row r="4" spans="1:15" x14ac:dyDescent="0.25">
      <c r="A4" s="5" t="s">
        <v>12</v>
      </c>
      <c r="B4" s="6" t="s">
        <v>13</v>
      </c>
      <c r="C4" s="7">
        <f>C1</f>
        <v>0</v>
      </c>
      <c r="D4" s="8"/>
      <c r="E4" s="3"/>
      <c r="F4" s="57">
        <v>500</v>
      </c>
      <c r="G4" s="3"/>
      <c r="H4" s="78">
        <f>C4*F4</f>
        <v>0</v>
      </c>
      <c r="I4" s="78">
        <f>(D4+F4)*C4</f>
        <v>0</v>
      </c>
      <c r="J4" s="114"/>
      <c r="K4" s="115"/>
    </row>
    <row r="5" spans="1:15" ht="16.5" thickBot="1" x14ac:dyDescent="0.3">
      <c r="A5" s="5" t="s">
        <v>14</v>
      </c>
      <c r="B5" s="6" t="s">
        <v>13</v>
      </c>
      <c r="C5" s="5">
        <f>'Таблица для заполнения'!D7</f>
        <v>0</v>
      </c>
      <c r="D5" s="95">
        <v>3360</v>
      </c>
      <c r="E5" s="51">
        <f>C5*D5</f>
        <v>0</v>
      </c>
      <c r="F5" s="57">
        <v>950</v>
      </c>
      <c r="G5" s="51">
        <f>C5*F5</f>
        <v>0</v>
      </c>
      <c r="H5" s="78"/>
      <c r="I5" s="78">
        <f>(D5+F5)*C5</f>
        <v>0</v>
      </c>
      <c r="J5" s="4"/>
      <c r="K5" s="10"/>
    </row>
    <row r="6" spans="1:15" ht="16.5" thickBot="1" x14ac:dyDescent="0.3">
      <c r="A6" s="6" t="s">
        <v>15</v>
      </c>
      <c r="B6" s="6" t="s">
        <v>13</v>
      </c>
      <c r="C6" s="6">
        <f>'Таблица для заполнения'!D8</f>
        <v>0</v>
      </c>
      <c r="D6" s="57">
        <v>3800</v>
      </c>
      <c r="E6" s="51">
        <f>C6*D6</f>
        <v>0</v>
      </c>
      <c r="F6" s="57">
        <v>1200</v>
      </c>
      <c r="G6" s="51">
        <f>C6*F6</f>
        <v>0</v>
      </c>
      <c r="H6" s="78"/>
      <c r="I6" s="78">
        <f>(D6+F6)*C6</f>
        <v>0</v>
      </c>
      <c r="J6" s="97"/>
      <c r="K6" s="97"/>
      <c r="M6" s="11"/>
      <c r="N6" s="105" t="s">
        <v>16</v>
      </c>
      <c r="O6" s="106"/>
    </row>
    <row r="7" spans="1:15" ht="16.5" thickBot="1" x14ac:dyDescent="0.3">
      <c r="A7" s="6" t="s">
        <v>17</v>
      </c>
      <c r="B7" s="6" t="s">
        <v>13</v>
      </c>
      <c r="C7" s="6">
        <f>'Таблица для заполнения'!D9</f>
        <v>0</v>
      </c>
      <c r="D7" s="57">
        <v>4200</v>
      </c>
      <c r="E7" s="51">
        <f t="shared" ref="E7:E25" si="0">C7*D7</f>
        <v>0</v>
      </c>
      <c r="F7" s="57">
        <v>1050</v>
      </c>
      <c r="G7" s="51">
        <f t="shared" ref="G7:G21" si="1">C7*F7</f>
        <v>0</v>
      </c>
      <c r="H7" s="78"/>
      <c r="I7" s="78">
        <f t="shared" ref="I7:I42" si="2">(D7+F7)*C7</f>
        <v>0</v>
      </c>
      <c r="J7" s="97"/>
      <c r="K7" s="97"/>
    </row>
    <row r="8" spans="1:15" ht="16.5" thickBot="1" x14ac:dyDescent="0.3">
      <c r="A8" s="6" t="s">
        <v>18</v>
      </c>
      <c r="B8" s="6" t="s">
        <v>13</v>
      </c>
      <c r="C8" s="6">
        <f>'Таблица для заполнения'!D10</f>
        <v>0</v>
      </c>
      <c r="D8" s="57">
        <v>2200</v>
      </c>
      <c r="E8" s="51">
        <f t="shared" si="0"/>
        <v>0</v>
      </c>
      <c r="F8" s="57">
        <v>600</v>
      </c>
      <c r="G8" s="51">
        <f t="shared" si="1"/>
        <v>0</v>
      </c>
      <c r="H8" s="78"/>
      <c r="I8" s="78">
        <f t="shared" si="2"/>
        <v>0</v>
      </c>
      <c r="J8" s="97"/>
      <c r="K8" s="97"/>
      <c r="M8" s="12"/>
      <c r="N8" s="105" t="s">
        <v>19</v>
      </c>
      <c r="O8" s="106"/>
    </row>
    <row r="9" spans="1:15" ht="16.5" thickBot="1" x14ac:dyDescent="0.3">
      <c r="A9" s="13" t="s">
        <v>20</v>
      </c>
      <c r="B9" s="13" t="s">
        <v>13</v>
      </c>
      <c r="C9" s="13">
        <f>'Таблица для заполнения'!D11</f>
        <v>0</v>
      </c>
      <c r="D9" s="57">
        <v>9570</v>
      </c>
      <c r="E9" s="65">
        <f t="shared" si="0"/>
        <v>0</v>
      </c>
      <c r="F9" s="57">
        <v>4000</v>
      </c>
      <c r="G9" s="65"/>
      <c r="H9" s="79">
        <f>C9*F9</f>
        <v>0</v>
      </c>
      <c r="I9" s="79">
        <f t="shared" si="2"/>
        <v>0</v>
      </c>
      <c r="J9" s="116"/>
      <c r="K9" s="116"/>
    </row>
    <row r="10" spans="1:15" ht="16.5" thickBot="1" x14ac:dyDescent="0.3">
      <c r="A10" s="6" t="s">
        <v>21</v>
      </c>
      <c r="B10" s="6" t="s">
        <v>13</v>
      </c>
      <c r="C10" s="6">
        <f>'Таблица для заполнения'!D13*('Таблица для заполнения'!D5+0.95)</f>
        <v>0</v>
      </c>
      <c r="D10" s="57">
        <v>2450</v>
      </c>
      <c r="E10" s="51">
        <f t="shared" si="0"/>
        <v>0</v>
      </c>
      <c r="F10" s="57">
        <v>900</v>
      </c>
      <c r="G10" s="51">
        <f t="shared" si="1"/>
        <v>0</v>
      </c>
      <c r="H10" s="78"/>
      <c r="I10" s="78">
        <f t="shared" si="2"/>
        <v>0</v>
      </c>
      <c r="J10" s="97"/>
      <c r="K10" s="97"/>
      <c r="M10" s="14"/>
      <c r="N10" s="105" t="s">
        <v>22</v>
      </c>
      <c r="O10" s="106"/>
    </row>
    <row r="11" spans="1:15" ht="16.5" thickBot="1" x14ac:dyDescent="0.3">
      <c r="A11" s="6" t="s">
        <v>23</v>
      </c>
      <c r="B11" s="6" t="s">
        <v>13</v>
      </c>
      <c r="C11" s="6">
        <f>'Таблица для заполнения'!D14*('Таблица для заполнения'!D5+0.95)</f>
        <v>0</v>
      </c>
      <c r="D11" s="57">
        <v>2830</v>
      </c>
      <c r="E11" s="51">
        <f t="shared" si="0"/>
        <v>0</v>
      </c>
      <c r="F11" s="57">
        <v>1200</v>
      </c>
      <c r="G11" s="51">
        <f t="shared" si="1"/>
        <v>0</v>
      </c>
      <c r="H11" s="78"/>
      <c r="I11" s="78">
        <f t="shared" si="2"/>
        <v>0</v>
      </c>
      <c r="J11" s="98"/>
      <c r="K11" s="99"/>
      <c r="M11" s="16"/>
    </row>
    <row r="12" spans="1:15" ht="16.5" thickBot="1" x14ac:dyDescent="0.3">
      <c r="A12" s="6" t="s">
        <v>24</v>
      </c>
      <c r="B12" s="6" t="s">
        <v>13</v>
      </c>
      <c r="C12" s="6">
        <f>'Таблица для заполнения'!D14*('Таблица для заполнения'!D5+0.15)</f>
        <v>0</v>
      </c>
      <c r="D12" s="57">
        <v>2050</v>
      </c>
      <c r="E12" s="51">
        <f t="shared" si="0"/>
        <v>0</v>
      </c>
      <c r="F12" s="57">
        <v>600</v>
      </c>
      <c r="G12" s="51">
        <f t="shared" si="1"/>
        <v>0</v>
      </c>
      <c r="H12" s="78"/>
      <c r="I12" s="78">
        <f t="shared" si="2"/>
        <v>0</v>
      </c>
      <c r="J12" s="97"/>
      <c r="K12" s="97"/>
      <c r="M12" s="17"/>
      <c r="N12" s="105" t="s">
        <v>25</v>
      </c>
      <c r="O12" s="106"/>
    </row>
    <row r="13" spans="1:15" x14ac:dyDescent="0.25">
      <c r="A13" s="6" t="s">
        <v>26</v>
      </c>
      <c r="B13" s="6" t="s">
        <v>13</v>
      </c>
      <c r="C13" s="6">
        <f>'Таблица для заполнения'!D17*('Таблица для заполнения'!D5+0.15)</f>
        <v>0</v>
      </c>
      <c r="D13" s="57">
        <v>2500</v>
      </c>
      <c r="E13" s="51">
        <f t="shared" si="0"/>
        <v>0</v>
      </c>
      <c r="F13" s="57">
        <v>1200</v>
      </c>
      <c r="G13" s="51">
        <f t="shared" si="1"/>
        <v>0</v>
      </c>
      <c r="H13" s="78"/>
      <c r="I13" s="78">
        <f t="shared" si="2"/>
        <v>0</v>
      </c>
      <c r="J13" s="97"/>
      <c r="K13" s="97"/>
    </row>
    <row r="14" spans="1:15" x14ac:dyDescent="0.25">
      <c r="A14" s="6" t="s">
        <v>27</v>
      </c>
      <c r="B14" s="6" t="s">
        <v>13</v>
      </c>
      <c r="C14" s="6">
        <f>'Таблица для заполнения'!D18*('Таблица для заполнения'!D5+0.15)</f>
        <v>0</v>
      </c>
      <c r="D14" s="57">
        <v>1410</v>
      </c>
      <c r="E14" s="51">
        <f t="shared" si="0"/>
        <v>0</v>
      </c>
      <c r="F14" s="57">
        <v>600</v>
      </c>
      <c r="G14" s="51">
        <f t="shared" si="1"/>
        <v>0</v>
      </c>
      <c r="H14" s="78"/>
      <c r="I14" s="78">
        <f t="shared" si="2"/>
        <v>0</v>
      </c>
      <c r="J14" s="97"/>
      <c r="K14" s="97"/>
    </row>
    <row r="15" spans="1:15" x14ac:dyDescent="0.25">
      <c r="A15" s="6" t="s">
        <v>28</v>
      </c>
      <c r="B15" s="6" t="s">
        <v>13</v>
      </c>
      <c r="C15" s="6">
        <f>'Таблица для заполнения'!D20*('Таблица для заполнения'!D5+0.05)</f>
        <v>0</v>
      </c>
      <c r="D15" s="57">
        <v>1400</v>
      </c>
      <c r="E15" s="51">
        <f t="shared" si="0"/>
        <v>0</v>
      </c>
      <c r="F15" s="57">
        <v>600</v>
      </c>
      <c r="G15" s="51">
        <f t="shared" si="1"/>
        <v>0</v>
      </c>
      <c r="H15" s="78"/>
      <c r="I15" s="78">
        <f t="shared" si="2"/>
        <v>0</v>
      </c>
      <c r="J15" s="97"/>
      <c r="K15" s="97"/>
    </row>
    <row r="16" spans="1:15" x14ac:dyDescent="0.25">
      <c r="A16" s="6" t="s">
        <v>29</v>
      </c>
      <c r="B16" s="6" t="s">
        <v>13</v>
      </c>
      <c r="C16" s="6">
        <f>'Таблица для заполнения'!D21*('Таблица для заполнения'!D5+0.05)</f>
        <v>0</v>
      </c>
      <c r="D16" s="57">
        <v>2000</v>
      </c>
      <c r="E16" s="51">
        <f t="shared" si="0"/>
        <v>0</v>
      </c>
      <c r="F16" s="57">
        <v>1500</v>
      </c>
      <c r="G16" s="51">
        <f t="shared" si="1"/>
        <v>0</v>
      </c>
      <c r="H16" s="78"/>
      <c r="I16" s="78">
        <f t="shared" si="2"/>
        <v>0</v>
      </c>
      <c r="J16" s="98"/>
      <c r="K16" s="99"/>
    </row>
    <row r="17" spans="1:11" x14ac:dyDescent="0.25">
      <c r="A17" s="6" t="s">
        <v>30</v>
      </c>
      <c r="B17" s="6" t="s">
        <v>13</v>
      </c>
      <c r="C17" s="6">
        <f>'Таблица для заполнения'!D22*('Таблица для заполнения'!D5+0.05)</f>
        <v>0</v>
      </c>
      <c r="D17" s="57">
        <v>2100</v>
      </c>
      <c r="E17" s="51">
        <f t="shared" si="0"/>
        <v>0</v>
      </c>
      <c r="F17" s="57">
        <v>3500</v>
      </c>
      <c r="G17" s="51">
        <f t="shared" si="1"/>
        <v>0</v>
      </c>
      <c r="H17" s="78"/>
      <c r="I17" s="78">
        <f t="shared" si="2"/>
        <v>0</v>
      </c>
      <c r="J17" s="98"/>
      <c r="K17" s="99"/>
    </row>
    <row r="18" spans="1:11" x14ac:dyDescent="0.25">
      <c r="A18" s="6" t="s">
        <v>31</v>
      </c>
      <c r="B18" s="6" t="s">
        <v>13</v>
      </c>
      <c r="C18" s="6">
        <f>'Таблица для заполнения'!D23*('Таблица для заполнения'!D5+0.05)</f>
        <v>0</v>
      </c>
      <c r="D18" s="57">
        <v>7000</v>
      </c>
      <c r="E18" s="51">
        <f t="shared" si="0"/>
        <v>0</v>
      </c>
      <c r="F18" s="57">
        <v>1500</v>
      </c>
      <c r="G18" s="51">
        <f t="shared" si="1"/>
        <v>0</v>
      </c>
      <c r="H18" s="78"/>
      <c r="I18" s="78">
        <f t="shared" si="2"/>
        <v>0</v>
      </c>
      <c r="J18" s="9"/>
      <c r="K18" s="15"/>
    </row>
    <row r="19" spans="1:11" x14ac:dyDescent="0.25">
      <c r="A19" s="6" t="s">
        <v>32</v>
      </c>
      <c r="B19" s="6" t="s">
        <v>13</v>
      </c>
      <c r="C19" s="6">
        <f>'Таблица для заполнения'!D24*('Таблица для заполнения'!D5+0.05)</f>
        <v>0</v>
      </c>
      <c r="D19" s="57">
        <v>3450</v>
      </c>
      <c r="E19" s="51">
        <f t="shared" si="0"/>
        <v>0</v>
      </c>
      <c r="F19" s="57">
        <v>1200</v>
      </c>
      <c r="G19" s="51">
        <f t="shared" si="1"/>
        <v>0</v>
      </c>
      <c r="H19" s="78"/>
      <c r="I19" s="78">
        <f t="shared" si="2"/>
        <v>0</v>
      </c>
      <c r="J19" s="9"/>
      <c r="K19" s="15"/>
    </row>
    <row r="20" spans="1:11" x14ac:dyDescent="0.25">
      <c r="A20" s="6" t="s">
        <v>33</v>
      </c>
      <c r="B20" s="6" t="s">
        <v>13</v>
      </c>
      <c r="C20" s="6">
        <f>'Таблица для заполнения'!D27*1.15</f>
        <v>0</v>
      </c>
      <c r="D20" s="57">
        <v>4720</v>
      </c>
      <c r="E20" s="51">
        <f t="shared" si="0"/>
        <v>0</v>
      </c>
      <c r="F20" s="57">
        <v>1500</v>
      </c>
      <c r="G20" s="51">
        <f t="shared" si="1"/>
        <v>0</v>
      </c>
      <c r="H20" s="78"/>
      <c r="I20" s="78">
        <f t="shared" si="2"/>
        <v>0</v>
      </c>
      <c r="J20" s="97"/>
      <c r="K20" s="97"/>
    </row>
    <row r="21" spans="1:11" x14ac:dyDescent="0.25">
      <c r="A21" s="6" t="s">
        <v>34</v>
      </c>
      <c r="B21" s="6" t="s">
        <v>13</v>
      </c>
      <c r="C21" s="6">
        <f>'Таблица для заполнения'!D28</f>
        <v>0</v>
      </c>
      <c r="D21" s="57">
        <v>7580</v>
      </c>
      <c r="E21" s="51">
        <f t="shared" si="0"/>
        <v>0</v>
      </c>
      <c r="F21" s="57">
        <v>1600</v>
      </c>
      <c r="G21" s="51">
        <f t="shared" si="1"/>
        <v>0</v>
      </c>
      <c r="H21" s="78"/>
      <c r="I21" s="78">
        <f t="shared" si="2"/>
        <v>0</v>
      </c>
      <c r="J21" s="97"/>
      <c r="K21" s="97"/>
    </row>
    <row r="22" spans="1:11" x14ac:dyDescent="0.25">
      <c r="A22" s="18" t="s">
        <v>35</v>
      </c>
      <c r="B22" s="18" t="s">
        <v>13</v>
      </c>
      <c r="C22" s="18">
        <f>'Таблица для заполнения'!D28</f>
        <v>0</v>
      </c>
      <c r="D22" s="62"/>
      <c r="E22" s="66"/>
      <c r="F22" s="57">
        <v>1000</v>
      </c>
      <c r="G22" s="66"/>
      <c r="H22" s="80">
        <f>C22*F22</f>
        <v>0</v>
      </c>
      <c r="I22" s="80">
        <f t="shared" si="2"/>
        <v>0</v>
      </c>
      <c r="J22" s="118"/>
      <c r="K22" s="119"/>
    </row>
    <row r="23" spans="1:11" x14ac:dyDescent="0.25">
      <c r="A23" s="20" t="s">
        <v>36</v>
      </c>
      <c r="B23" s="20" t="s">
        <v>13</v>
      </c>
      <c r="C23" s="20">
        <f>'Таблица для заполнения'!D4</f>
        <v>0</v>
      </c>
      <c r="D23" s="57">
        <v>1000</v>
      </c>
      <c r="E23" s="67">
        <f t="shared" si="0"/>
        <v>0</v>
      </c>
      <c r="F23" s="57">
        <v>700</v>
      </c>
      <c r="G23" s="67"/>
      <c r="H23" s="81">
        <f>C23*F23</f>
        <v>0</v>
      </c>
      <c r="I23" s="81">
        <f t="shared" si="2"/>
        <v>0</v>
      </c>
      <c r="J23" s="117"/>
      <c r="K23" s="117"/>
    </row>
    <row r="24" spans="1:11" x14ac:dyDescent="0.25">
      <c r="A24" s="13" t="s">
        <v>37</v>
      </c>
      <c r="B24" s="13" t="s">
        <v>13</v>
      </c>
      <c r="C24" s="13">
        <f>'Таблица для заполнения'!D25*('Таблица для заполнения'!D5+0.05)</f>
        <v>0</v>
      </c>
      <c r="D24" s="57">
        <v>6100</v>
      </c>
      <c r="E24" s="65">
        <f t="shared" si="0"/>
        <v>0</v>
      </c>
      <c r="F24" s="57">
        <v>4000</v>
      </c>
      <c r="G24" s="65"/>
      <c r="H24" s="79">
        <f>C24*F24</f>
        <v>0</v>
      </c>
      <c r="I24" s="79">
        <f t="shared" si="2"/>
        <v>0</v>
      </c>
      <c r="J24" s="116"/>
      <c r="K24" s="116"/>
    </row>
    <row r="25" spans="1:11" ht="16.5" thickBot="1" x14ac:dyDescent="0.3">
      <c r="A25" s="21" t="s">
        <v>38</v>
      </c>
      <c r="B25" s="21" t="s">
        <v>39</v>
      </c>
      <c r="C25" s="21">
        <f>'Таблица для заполнения'!D30</f>
        <v>0</v>
      </c>
      <c r="D25" s="58">
        <v>28000</v>
      </c>
      <c r="E25" s="68">
        <f t="shared" si="0"/>
        <v>0</v>
      </c>
      <c r="F25" s="58">
        <v>8000</v>
      </c>
      <c r="G25" s="68"/>
      <c r="H25" s="82">
        <f>C25*F25</f>
        <v>0</v>
      </c>
      <c r="I25" s="82">
        <f t="shared" si="2"/>
        <v>0</v>
      </c>
      <c r="J25" s="120"/>
      <c r="K25" s="120"/>
    </row>
    <row r="26" spans="1:11" ht="16.5" thickBot="1" x14ac:dyDescent="0.3">
      <c r="A26" s="6" t="s">
        <v>40</v>
      </c>
      <c r="B26" s="6" t="s">
        <v>39</v>
      </c>
      <c r="C26" s="22"/>
      <c r="D26" s="59">
        <f>'Таблица для заполнения'!D31</f>
        <v>0</v>
      </c>
      <c r="E26" s="69">
        <f>D26</f>
        <v>0</v>
      </c>
      <c r="F26" s="59">
        <f>'Таблица для заполнения'!D32</f>
        <v>0</v>
      </c>
      <c r="G26" s="70">
        <f>F26</f>
        <v>0</v>
      </c>
      <c r="H26" s="69"/>
      <c r="I26" s="78">
        <f>D26+F26</f>
        <v>0</v>
      </c>
      <c r="J26" s="97"/>
      <c r="K26" s="97"/>
    </row>
    <row r="27" spans="1:11" ht="16.5" thickBot="1" x14ac:dyDescent="0.3">
      <c r="A27" s="6" t="s">
        <v>41</v>
      </c>
      <c r="B27" s="6" t="s">
        <v>39</v>
      </c>
      <c r="C27" s="6">
        <f>'Таблица для заполнения'!D33</f>
        <v>0</v>
      </c>
      <c r="D27" s="63">
        <v>6000</v>
      </c>
      <c r="E27" s="51">
        <f>C27*D27</f>
        <v>0</v>
      </c>
      <c r="F27" s="60">
        <v>4000</v>
      </c>
      <c r="G27" s="51">
        <f>C27*F27</f>
        <v>0</v>
      </c>
      <c r="H27" s="78"/>
      <c r="I27" s="78">
        <f t="shared" si="2"/>
        <v>0</v>
      </c>
      <c r="J27" s="97"/>
      <c r="K27" s="97"/>
    </row>
    <row r="28" spans="1:11" ht="16.5" thickBot="1" x14ac:dyDescent="0.3">
      <c r="A28" s="6" t="s">
        <v>42</v>
      </c>
      <c r="B28" s="6" t="s">
        <v>39</v>
      </c>
      <c r="C28" s="9">
        <f>'Таблица для заполнения'!D33</f>
        <v>0</v>
      </c>
      <c r="D28" s="59">
        <f>'Таблица для заполнения'!D34</f>
        <v>0</v>
      </c>
      <c r="E28" s="70">
        <f>D28</f>
        <v>0</v>
      </c>
      <c r="F28" s="57">
        <v>4000</v>
      </c>
      <c r="G28" s="51">
        <f>C28*F28</f>
        <v>0</v>
      </c>
      <c r="H28" s="78"/>
      <c r="I28" s="78">
        <f>C28*F28+D28</f>
        <v>0</v>
      </c>
      <c r="J28" s="97"/>
      <c r="K28" s="97"/>
    </row>
    <row r="29" spans="1:11" ht="16.5" thickBot="1" x14ac:dyDescent="0.3">
      <c r="A29" s="6" t="s">
        <v>43</v>
      </c>
      <c r="B29" s="6" t="s">
        <v>39</v>
      </c>
      <c r="C29" s="6">
        <f>'Таблица для заполнения'!D35</f>
        <v>0</v>
      </c>
      <c r="D29" s="63">
        <v>12000</v>
      </c>
      <c r="E29" s="51">
        <f>C29*D29</f>
        <v>0</v>
      </c>
      <c r="F29" s="57">
        <v>10000</v>
      </c>
      <c r="G29" s="51">
        <f>C29*F29</f>
        <v>0</v>
      </c>
      <c r="H29" s="78"/>
      <c r="I29" s="78">
        <f t="shared" si="2"/>
        <v>0</v>
      </c>
      <c r="J29" s="97"/>
      <c r="K29" s="97"/>
    </row>
    <row r="30" spans="1:11" ht="16.5" thickBot="1" x14ac:dyDescent="0.3">
      <c r="A30" s="6" t="s">
        <v>44</v>
      </c>
      <c r="B30" s="6" t="s">
        <v>39</v>
      </c>
      <c r="C30" s="9">
        <f>'Таблица для заполнения'!D35</f>
        <v>0</v>
      </c>
      <c r="D30" s="59">
        <f>'Таблица для заполнения'!D36</f>
        <v>0</v>
      </c>
      <c r="E30" s="70">
        <f>D30</f>
        <v>0</v>
      </c>
      <c r="F30" s="57">
        <v>10000</v>
      </c>
      <c r="G30" s="51">
        <f>C30*F30</f>
        <v>0</v>
      </c>
      <c r="H30" s="78"/>
      <c r="I30" s="78">
        <f>D30+F30*C30</f>
        <v>0</v>
      </c>
      <c r="J30" s="97"/>
      <c r="K30" s="97"/>
    </row>
    <row r="31" spans="1:11" x14ac:dyDescent="0.25">
      <c r="A31" s="23" t="s">
        <v>45</v>
      </c>
      <c r="B31" s="23" t="s">
        <v>13</v>
      </c>
      <c r="C31" s="24">
        <f>C1</f>
        <v>0</v>
      </c>
      <c r="D31" s="64"/>
      <c r="E31" s="71"/>
      <c r="F31" s="57">
        <v>1700</v>
      </c>
      <c r="G31" s="71"/>
      <c r="H31" s="83">
        <f>C31*F31</f>
        <v>0</v>
      </c>
      <c r="I31" s="83">
        <f>C31*F31</f>
        <v>0</v>
      </c>
      <c r="J31" s="121"/>
      <c r="K31" s="121"/>
    </row>
    <row r="32" spans="1:11" x14ac:dyDescent="0.25">
      <c r="A32" s="25" t="s">
        <v>46</v>
      </c>
      <c r="B32" s="25" t="s">
        <v>13</v>
      </c>
      <c r="C32" s="24">
        <f>C1</f>
        <v>0</v>
      </c>
      <c r="D32" s="57">
        <v>2600</v>
      </c>
      <c r="E32" s="72">
        <f t="shared" ref="E32:E42" si="3">C32*D32</f>
        <v>0</v>
      </c>
      <c r="F32" s="57">
        <v>1800</v>
      </c>
      <c r="G32" s="72"/>
      <c r="H32" s="84">
        <f>C32*F32</f>
        <v>0</v>
      </c>
      <c r="I32" s="84">
        <f t="shared" si="2"/>
        <v>0</v>
      </c>
      <c r="J32" s="122"/>
      <c r="K32" s="122"/>
    </row>
    <row r="33" spans="1:11" x14ac:dyDescent="0.25">
      <c r="A33" s="26" t="s">
        <v>47</v>
      </c>
      <c r="B33" s="26" t="s">
        <v>48</v>
      </c>
      <c r="C33" s="26">
        <f>'Таблица для заполнения'!D37</f>
        <v>0</v>
      </c>
      <c r="D33" s="57">
        <v>60000</v>
      </c>
      <c r="E33" s="73">
        <f t="shared" si="3"/>
        <v>0</v>
      </c>
      <c r="F33" s="57">
        <f>'Наполнение санузла(вкладка №2)'!L17</f>
        <v>82000</v>
      </c>
      <c r="G33" s="73"/>
      <c r="H33" s="85">
        <f>F33</f>
        <v>82000</v>
      </c>
      <c r="I33" s="85">
        <f>E33+H33</f>
        <v>82000</v>
      </c>
      <c r="J33" s="123"/>
      <c r="K33" s="123"/>
    </row>
    <row r="34" spans="1:11" x14ac:dyDescent="0.25">
      <c r="A34" s="26" t="s">
        <v>49</v>
      </c>
      <c r="B34" s="26" t="s">
        <v>48</v>
      </c>
      <c r="C34" s="26">
        <f>'Таблица для заполнения'!D37</f>
        <v>0</v>
      </c>
      <c r="D34" s="57">
        <f>'Наполнение санузла(вкладка №2)'!E24</f>
        <v>205000</v>
      </c>
      <c r="E34" s="73">
        <f t="shared" si="3"/>
        <v>0</v>
      </c>
      <c r="F34" s="61"/>
      <c r="G34" s="73"/>
      <c r="H34" s="85"/>
      <c r="I34" s="85">
        <f t="shared" si="2"/>
        <v>0</v>
      </c>
      <c r="J34" s="124"/>
      <c r="K34" s="125"/>
    </row>
    <row r="35" spans="1:11" x14ac:dyDescent="0.25">
      <c r="A35" s="6" t="s">
        <v>50</v>
      </c>
      <c r="B35" s="6" t="s">
        <v>13</v>
      </c>
      <c r="C35" s="24">
        <f>C1</f>
        <v>0</v>
      </c>
      <c r="D35" s="57">
        <v>600</v>
      </c>
      <c r="E35" s="51">
        <f t="shared" si="3"/>
        <v>0</v>
      </c>
      <c r="F35" s="57">
        <v>100</v>
      </c>
      <c r="G35" s="51">
        <f>C35*F35</f>
        <v>0</v>
      </c>
      <c r="H35" s="9"/>
      <c r="I35" s="78">
        <f>(D35+F35)*C35</f>
        <v>0</v>
      </c>
      <c r="J35" s="98"/>
      <c r="K35" s="99"/>
    </row>
    <row r="36" spans="1:11" x14ac:dyDescent="0.25">
      <c r="A36" s="6" t="s">
        <v>51</v>
      </c>
      <c r="B36" s="6" t="s">
        <v>13</v>
      </c>
      <c r="C36" s="24">
        <f>C1</f>
        <v>0</v>
      </c>
      <c r="D36" s="57">
        <v>1600</v>
      </c>
      <c r="E36" s="51">
        <f t="shared" si="3"/>
        <v>0</v>
      </c>
      <c r="F36" s="27"/>
      <c r="G36" s="76"/>
      <c r="H36" s="28"/>
      <c r="I36" s="51">
        <f t="shared" si="2"/>
        <v>0</v>
      </c>
      <c r="J36" s="97"/>
      <c r="K36" s="97"/>
    </row>
    <row r="37" spans="1:11" x14ac:dyDescent="0.25">
      <c r="A37" s="6" t="s">
        <v>52</v>
      </c>
      <c r="B37" s="6" t="s">
        <v>13</v>
      </c>
      <c r="C37" s="24">
        <f>C1</f>
        <v>0</v>
      </c>
      <c r="D37" s="57">
        <v>600</v>
      </c>
      <c r="E37" s="51">
        <f t="shared" si="3"/>
        <v>0</v>
      </c>
      <c r="F37" s="19"/>
      <c r="G37" s="51"/>
      <c r="H37" s="6"/>
      <c r="I37" s="51">
        <f t="shared" si="2"/>
        <v>0</v>
      </c>
      <c r="J37" s="97"/>
      <c r="K37" s="97"/>
    </row>
    <row r="38" spans="1:11" x14ac:dyDescent="0.25">
      <c r="A38" s="6"/>
      <c r="B38" s="6"/>
      <c r="C38" s="6"/>
      <c r="D38" s="51"/>
      <c r="E38" s="51">
        <f t="shared" si="3"/>
        <v>0</v>
      </c>
      <c r="F38" s="6"/>
      <c r="G38" s="51">
        <f>C38*F38</f>
        <v>0</v>
      </c>
      <c r="H38" s="6"/>
      <c r="I38" s="51">
        <f t="shared" si="2"/>
        <v>0</v>
      </c>
      <c r="J38" s="97"/>
      <c r="K38" s="97"/>
    </row>
    <row r="39" spans="1:11" x14ac:dyDescent="0.25">
      <c r="A39" s="6"/>
      <c r="B39" s="6"/>
      <c r="C39" s="6"/>
      <c r="D39" s="51"/>
      <c r="E39" s="51">
        <f t="shared" si="3"/>
        <v>0</v>
      </c>
      <c r="F39" s="6"/>
      <c r="G39" s="51">
        <f>C39*F39</f>
        <v>0</v>
      </c>
      <c r="H39" s="6"/>
      <c r="I39" s="51">
        <f t="shared" si="2"/>
        <v>0</v>
      </c>
      <c r="J39" s="97"/>
      <c r="K39" s="97"/>
    </row>
    <row r="40" spans="1:11" x14ac:dyDescent="0.25">
      <c r="A40" s="6"/>
      <c r="B40" s="6"/>
      <c r="C40" s="6"/>
      <c r="D40" s="51"/>
      <c r="E40" s="51">
        <f t="shared" si="3"/>
        <v>0</v>
      </c>
      <c r="F40" s="6"/>
      <c r="G40" s="51">
        <f>C40*F40</f>
        <v>0</v>
      </c>
      <c r="H40" s="6"/>
      <c r="I40" s="51">
        <f t="shared" si="2"/>
        <v>0</v>
      </c>
      <c r="J40" s="97"/>
      <c r="K40" s="97"/>
    </row>
    <row r="41" spans="1:11" x14ac:dyDescent="0.25">
      <c r="A41" s="6"/>
      <c r="B41" s="6"/>
      <c r="C41" s="6"/>
      <c r="D41" s="51"/>
      <c r="E41" s="51">
        <f t="shared" si="3"/>
        <v>0</v>
      </c>
      <c r="F41" s="6"/>
      <c r="G41" s="51">
        <f>C41*F41</f>
        <v>0</v>
      </c>
      <c r="H41" s="6"/>
      <c r="I41" s="51">
        <f t="shared" si="2"/>
        <v>0</v>
      </c>
      <c r="J41" s="97"/>
      <c r="K41" s="97"/>
    </row>
    <row r="42" spans="1:11" ht="16.5" thickBot="1" x14ac:dyDescent="0.3">
      <c r="A42" s="29"/>
      <c r="B42" s="29"/>
      <c r="C42" s="29"/>
      <c r="D42" s="74"/>
      <c r="E42" s="74">
        <f t="shared" si="3"/>
        <v>0</v>
      </c>
      <c r="F42" s="29"/>
      <c r="G42" s="74">
        <f>C42*F42</f>
        <v>0</v>
      </c>
      <c r="H42" s="29"/>
      <c r="I42" s="74">
        <f t="shared" si="2"/>
        <v>0</v>
      </c>
      <c r="J42" s="126"/>
      <c r="K42" s="126"/>
    </row>
    <row r="43" spans="1:11" ht="16.5" thickBot="1" x14ac:dyDescent="0.3">
      <c r="A43" s="30" t="s">
        <v>53</v>
      </c>
      <c r="B43" s="31" t="s">
        <v>13</v>
      </c>
      <c r="C43" s="32">
        <f>C1</f>
        <v>0</v>
      </c>
      <c r="D43" s="75">
        <v>13500</v>
      </c>
      <c r="E43" s="31"/>
      <c r="F43" s="31"/>
      <c r="G43" s="31"/>
      <c r="H43" s="31"/>
      <c r="I43" s="86">
        <f>D43*C43</f>
        <v>0</v>
      </c>
      <c r="J43" s="127"/>
      <c r="K43" s="128"/>
    </row>
    <row r="44" spans="1:11" ht="16.5" thickBot="1" x14ac:dyDescent="0.3">
      <c r="I44" s="87"/>
    </row>
    <row r="45" spans="1:11" ht="16.5" thickBot="1" x14ac:dyDescent="0.3">
      <c r="A45" s="33" t="s">
        <v>54</v>
      </c>
      <c r="B45" s="34"/>
      <c r="C45" s="34"/>
      <c r="D45" s="34"/>
      <c r="E45" s="77">
        <f>SUM(E6:E43)</f>
        <v>0</v>
      </c>
      <c r="F45" s="34"/>
      <c r="G45" s="77">
        <f>SUM(G6:G43)</f>
        <v>0</v>
      </c>
      <c r="H45" s="77">
        <f>SUM(H4:H42)</f>
        <v>82000</v>
      </c>
      <c r="I45" s="77">
        <f>SUM(I4:I42)+I43</f>
        <v>82000</v>
      </c>
      <c r="J45" s="129"/>
      <c r="K45" s="106"/>
    </row>
    <row r="46" spans="1:11" ht="16.5" thickBot="1" x14ac:dyDescent="0.3">
      <c r="I46" s="87"/>
    </row>
    <row r="47" spans="1:11" ht="21.75" thickBot="1" x14ac:dyDescent="0.4">
      <c r="A47" s="35" t="s">
        <v>55</v>
      </c>
      <c r="B47" s="36"/>
      <c r="C47" s="36"/>
      <c r="D47" s="36"/>
      <c r="E47" s="36"/>
      <c r="F47" s="36"/>
      <c r="G47" s="36"/>
      <c r="H47" s="36"/>
      <c r="I47" s="88">
        <f>I45*1.38</f>
        <v>113159.99999999999</v>
      </c>
      <c r="J47" s="36"/>
      <c r="K47" s="37"/>
    </row>
    <row r="50" spans="1:9" x14ac:dyDescent="0.25">
      <c r="A50" s="38" t="s">
        <v>56</v>
      </c>
    </row>
    <row r="51" spans="1:9" x14ac:dyDescent="0.25">
      <c r="A51" s="1" t="s">
        <v>57</v>
      </c>
      <c r="B51" s="1" t="s">
        <v>13</v>
      </c>
      <c r="D51" s="1">
        <v>5000</v>
      </c>
      <c r="I51" s="1">
        <f>C51*D51</f>
        <v>0</v>
      </c>
    </row>
    <row r="52" spans="1:9" x14ac:dyDescent="0.25">
      <c r="A52" s="1" t="s">
        <v>58</v>
      </c>
      <c r="B52" s="1" t="s">
        <v>13</v>
      </c>
      <c r="D52" s="1">
        <v>5000</v>
      </c>
      <c r="I52" s="1">
        <f>C52*D52</f>
        <v>0</v>
      </c>
    </row>
    <row r="53" spans="1:9" x14ac:dyDescent="0.25">
      <c r="A53" s="1" t="s">
        <v>130</v>
      </c>
      <c r="B53" s="1" t="s">
        <v>13</v>
      </c>
      <c r="D53" s="1">
        <v>14000</v>
      </c>
      <c r="I53" s="1">
        <f>C53*D53</f>
        <v>0</v>
      </c>
    </row>
    <row r="54" spans="1:9" x14ac:dyDescent="0.25">
      <c r="A54" s="1" t="s">
        <v>59</v>
      </c>
      <c r="B54" s="1" t="s">
        <v>60</v>
      </c>
      <c r="D54" s="1">
        <v>6000</v>
      </c>
      <c r="I54" s="1">
        <f t="shared" ref="I54:I62" si="4">C54*D54</f>
        <v>0</v>
      </c>
    </row>
    <row r="55" spans="1:9" x14ac:dyDescent="0.25">
      <c r="A55" s="1" t="s">
        <v>133</v>
      </c>
      <c r="B55" s="1" t="s">
        <v>13</v>
      </c>
      <c r="D55" s="1">
        <v>18000</v>
      </c>
      <c r="I55" s="1">
        <f t="shared" si="4"/>
        <v>0</v>
      </c>
    </row>
    <row r="56" spans="1:9" x14ac:dyDescent="0.25">
      <c r="A56" s="1" t="s">
        <v>132</v>
      </c>
      <c r="B56" s="1" t="s">
        <v>13</v>
      </c>
      <c r="D56" s="1">
        <v>20000</v>
      </c>
      <c r="I56" s="1">
        <f t="shared" si="4"/>
        <v>0</v>
      </c>
    </row>
    <row r="57" spans="1:9" x14ac:dyDescent="0.25">
      <c r="A57" s="1" t="s">
        <v>134</v>
      </c>
      <c r="B57" s="1" t="s">
        <v>13</v>
      </c>
      <c r="D57" s="1">
        <v>18000</v>
      </c>
      <c r="I57" s="1">
        <f t="shared" si="4"/>
        <v>0</v>
      </c>
    </row>
    <row r="58" spans="1:9" x14ac:dyDescent="0.25">
      <c r="A58" s="1" t="s">
        <v>131</v>
      </c>
      <c r="B58" s="1" t="s">
        <v>13</v>
      </c>
      <c r="D58" s="1">
        <v>22000</v>
      </c>
      <c r="I58" s="1">
        <f>C58*D58</f>
        <v>0</v>
      </c>
    </row>
    <row r="59" spans="1:9" x14ac:dyDescent="0.25">
      <c r="A59" s="1" t="s">
        <v>61</v>
      </c>
      <c r="B59" s="1" t="s">
        <v>13</v>
      </c>
      <c r="D59" s="1">
        <v>1000</v>
      </c>
      <c r="I59" s="1">
        <f t="shared" si="4"/>
        <v>0</v>
      </c>
    </row>
    <row r="60" spans="1:9" x14ac:dyDescent="0.25">
      <c r="A60" s="1" t="s">
        <v>62</v>
      </c>
      <c r="B60" s="1" t="s">
        <v>39</v>
      </c>
      <c r="D60" s="1">
        <v>5000</v>
      </c>
      <c r="I60" s="1">
        <f t="shared" si="4"/>
        <v>0</v>
      </c>
    </row>
    <row r="61" spans="1:9" x14ac:dyDescent="0.25">
      <c r="A61" s="1" t="s">
        <v>63</v>
      </c>
      <c r="B61" s="1" t="s">
        <v>39</v>
      </c>
      <c r="D61" s="1">
        <v>15000</v>
      </c>
      <c r="I61" s="1">
        <f t="shared" si="4"/>
        <v>0</v>
      </c>
    </row>
    <row r="62" spans="1:9" x14ac:dyDescent="0.25">
      <c r="A62" s="1" t="s">
        <v>64</v>
      </c>
      <c r="B62" s="1" t="s">
        <v>39</v>
      </c>
      <c r="D62" s="1">
        <v>6000</v>
      </c>
      <c r="I62" s="1">
        <f t="shared" si="4"/>
        <v>0</v>
      </c>
    </row>
  </sheetData>
  <mergeCells count="46">
    <mergeCell ref="J42:K42"/>
    <mergeCell ref="J43:K43"/>
    <mergeCell ref="J45:K45"/>
    <mergeCell ref="J36:K36"/>
    <mergeCell ref="J37:K37"/>
    <mergeCell ref="J38:K38"/>
    <mergeCell ref="J39:K39"/>
    <mergeCell ref="J40:K40"/>
    <mergeCell ref="J41:K41"/>
    <mergeCell ref="J35:K35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23:K23"/>
    <mergeCell ref="J11:K11"/>
    <mergeCell ref="J12:K12"/>
    <mergeCell ref="N12:O12"/>
    <mergeCell ref="J13:K13"/>
    <mergeCell ref="J14:K14"/>
    <mergeCell ref="J15:K15"/>
    <mergeCell ref="J16:K16"/>
    <mergeCell ref="J17:K17"/>
    <mergeCell ref="J20:K20"/>
    <mergeCell ref="J21:K21"/>
    <mergeCell ref="J22:K22"/>
    <mergeCell ref="J10:K10"/>
    <mergeCell ref="N10:O10"/>
    <mergeCell ref="A1:A2"/>
    <mergeCell ref="B1:B2"/>
    <mergeCell ref="C1:C2"/>
    <mergeCell ref="J3:K3"/>
    <mergeCell ref="J4:K4"/>
    <mergeCell ref="J6:K6"/>
    <mergeCell ref="N6:O6"/>
    <mergeCell ref="J7:K7"/>
    <mergeCell ref="J8:K8"/>
    <mergeCell ref="N8:O8"/>
    <mergeCell ref="J9:K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 для заполнения</vt:lpstr>
      <vt:lpstr>Наполнение санузла(вкладка №2)</vt:lpstr>
      <vt:lpstr>Таблица обзорная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2023-11-07T18:16:49Z</dcterms:created>
  <dcterms:modified xsi:type="dcterms:W3CDTF">2026-02-06T11:21:51Z</dcterms:modified>
</cp:coreProperties>
</file>